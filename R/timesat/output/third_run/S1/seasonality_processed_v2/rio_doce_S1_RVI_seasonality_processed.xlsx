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bell01/Google Drive/PHD/CUNY/Research/R/Phenology/timesat/output/third_run/S1/seasonality_processed_v2/"/>
    </mc:Choice>
  </mc:AlternateContent>
  <xr:revisionPtr revIDLastSave="0" documentId="8_{A154BF16-7F83-9A40-92C7-4595ED120354}" xr6:coauthVersionLast="47" xr6:coauthVersionMax="47" xr10:uidLastSave="{00000000-0000-0000-0000-000000000000}"/>
  <bookViews>
    <workbookView xWindow="1480" yWindow="500" windowWidth="26840" windowHeight="15440"/>
  </bookViews>
  <sheets>
    <sheet name="rio_doce_S1_RVI_seasonality_pr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" i="1" l="1"/>
  <c r="U7" i="1"/>
  <c r="R7" i="1"/>
  <c r="T7" i="1"/>
  <c r="X7" i="1"/>
  <c r="V7" i="1"/>
</calcChain>
</file>

<file path=xl/sharedStrings.xml><?xml version="1.0" encoding="utf-8"?>
<sst xmlns="http://schemas.openxmlformats.org/spreadsheetml/2006/main" count="48" uniqueCount="48">
  <si>
    <t>Seas.</t>
  </si>
  <si>
    <t>Start.t.</t>
  </si>
  <si>
    <t>End.t.</t>
  </si>
  <si>
    <t>Length</t>
  </si>
  <si>
    <t>Base.val.</t>
  </si>
  <si>
    <t>Peak.t.</t>
  </si>
  <si>
    <t>Peak.val.</t>
  </si>
  <si>
    <t>Ampl.</t>
  </si>
  <si>
    <t>L.deriv.</t>
  </si>
  <si>
    <t>R.deriv.</t>
  </si>
  <si>
    <t>L.integral</t>
  </si>
  <si>
    <t>S.integral</t>
  </si>
  <si>
    <t>Start.val.</t>
  </si>
  <si>
    <t>End.val.</t>
  </si>
  <si>
    <t>season_start_date</t>
  </si>
  <si>
    <t>season_end_date</t>
  </si>
  <si>
    <t>peak_date</t>
  </si>
  <si>
    <t>length_days</t>
  </si>
  <si>
    <t>phase_peak</t>
  </si>
  <si>
    <t>season_half_date</t>
  </si>
  <si>
    <t>phase_seas</t>
  </si>
  <si>
    <t>season_ensemble_date</t>
  </si>
  <si>
    <t>phase_ensemble</t>
  </si>
  <si>
    <t>16-9-6</t>
  </si>
  <si>
    <t>17-1-1</t>
  </si>
  <si>
    <t>16-10-25</t>
  </si>
  <si>
    <t>16-11-3</t>
  </si>
  <si>
    <t>16-9-10</t>
  </si>
  <si>
    <t>17-9-1</t>
  </si>
  <si>
    <t>17-12-26</t>
  </si>
  <si>
    <t>17-10-20</t>
  </si>
  <si>
    <t>17-10-29</t>
  </si>
  <si>
    <t>17-9-5</t>
  </si>
  <si>
    <t>18-8-27</t>
  </si>
  <si>
    <t>18-12-22</t>
  </si>
  <si>
    <t>18-10-15</t>
  </si>
  <si>
    <t>18-10-24</t>
  </si>
  <si>
    <t>18-8-31</t>
  </si>
  <si>
    <t>19-8-22</t>
  </si>
  <si>
    <t>19-12-16</t>
  </si>
  <si>
    <t>19-10-10</t>
  </si>
  <si>
    <t>19-10-19</t>
  </si>
  <si>
    <t>19-8-26</t>
  </si>
  <si>
    <t>20-8-16</t>
  </si>
  <si>
    <t>20-12-10</t>
  </si>
  <si>
    <t>20-10-4</t>
  </si>
  <si>
    <t>20-10-13</t>
  </si>
  <si>
    <t>20-8-20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</si>
</sst>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7" formatCode="yy\-mm\-d;@"/>
    <numFmt numFmtId="168" formatCode="yy\-mm\-d"/>
    <numFmt numFmtId="170" formatCode="mm\-d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7" fontId="0" fillId="0" borderId="0" xfId="0" applyNumberFormat="1"/>
    <xf numFmtId="168" fontId="0" fillId="0" borderId="0" xfId="0" applyNumberFormat="1"/>
    <xf numFmtId="170" fontId="0" fillId="0" borderId="0" xfId="0" applyNumberFormat="1"/>
    <xf numFmtId="170" fontId="16" fillId="0" borderId="0" xfId="0" applyNumberFormat="1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"/>
  <sheetViews>
    <sheetView tabSelected="1" topLeftCell="F1" workbookViewId="0">
      <selection activeCell="W11" sqref="W11"/>
    </sheetView>
  </sheetViews>
  <sheetFormatPr baseColWidth="10" defaultRowHeight="16" x14ac:dyDescent="0.2"/>
  <sheetData>
    <row r="1" spans="1:2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">
      <c r="A2">
        <v>1</v>
      </c>
      <c r="B2">
        <v>1</v>
      </c>
      <c r="C2">
        <v>20</v>
      </c>
      <c r="D2">
        <v>29.71</v>
      </c>
      <c r="E2">
        <v>9.7129999999999992</v>
      </c>
      <c r="F2">
        <v>0.72650000000000003</v>
      </c>
      <c r="G2">
        <v>24.12</v>
      </c>
      <c r="H2">
        <v>0.86780000000000002</v>
      </c>
      <c r="I2">
        <v>0.14130000000000001</v>
      </c>
      <c r="J2">
        <v>3.2050000000000002E-2</v>
      </c>
      <c r="K2">
        <v>2.3300000000000001E-2</v>
      </c>
      <c r="L2">
        <v>9.8640000000000008</v>
      </c>
      <c r="M2">
        <v>1.145</v>
      </c>
      <c r="N2">
        <v>0.77600000000000002</v>
      </c>
      <c r="O2">
        <v>0.77500000000000002</v>
      </c>
      <c r="P2" t="s">
        <v>23</v>
      </c>
      <c r="Q2" t="s">
        <v>24</v>
      </c>
      <c r="R2" t="s">
        <v>25</v>
      </c>
      <c r="S2">
        <v>117</v>
      </c>
      <c r="T2">
        <v>298</v>
      </c>
      <c r="U2" s="2" t="s">
        <v>26</v>
      </c>
      <c r="V2">
        <v>307</v>
      </c>
      <c r="W2" t="s">
        <v>27</v>
      </c>
      <c r="X2">
        <v>302.5</v>
      </c>
    </row>
    <row r="3" spans="1:24" x14ac:dyDescent="0.2">
      <c r="A3">
        <v>2</v>
      </c>
      <c r="B3">
        <v>2</v>
      </c>
      <c r="C3">
        <v>49.99</v>
      </c>
      <c r="D3">
        <v>59.7</v>
      </c>
      <c r="E3">
        <v>9.7100000000000009</v>
      </c>
      <c r="F3">
        <v>0.71460000000000001</v>
      </c>
      <c r="G3">
        <v>54.11</v>
      </c>
      <c r="H3">
        <v>0.8569</v>
      </c>
      <c r="I3">
        <v>0.14219999999999999</v>
      </c>
      <c r="J3">
        <v>3.3509999999999998E-2</v>
      </c>
      <c r="K3">
        <v>2.215E-2</v>
      </c>
      <c r="L3">
        <v>9.7249999999999996</v>
      </c>
      <c r="M3">
        <v>1.149</v>
      </c>
      <c r="N3">
        <v>0.7661</v>
      </c>
      <c r="O3">
        <v>0.76129999999999998</v>
      </c>
      <c r="P3" t="s">
        <v>28</v>
      </c>
      <c r="Q3" t="s">
        <v>29</v>
      </c>
      <c r="R3" t="s">
        <v>30</v>
      </c>
      <c r="S3">
        <v>117</v>
      </c>
      <c r="T3">
        <v>292</v>
      </c>
      <c r="U3" s="1" t="s">
        <v>31</v>
      </c>
      <c r="V3">
        <v>301</v>
      </c>
      <c r="W3" t="s">
        <v>32</v>
      </c>
      <c r="X3">
        <v>296.5</v>
      </c>
    </row>
    <row r="4" spans="1:24" x14ac:dyDescent="0.2">
      <c r="A4">
        <v>3</v>
      </c>
      <c r="B4">
        <v>3</v>
      </c>
      <c r="C4">
        <v>80</v>
      </c>
      <c r="D4">
        <v>89.71</v>
      </c>
      <c r="E4">
        <v>9.7149999999999999</v>
      </c>
      <c r="F4">
        <v>0.70069999999999999</v>
      </c>
      <c r="G4">
        <v>84.11</v>
      </c>
      <c r="H4">
        <v>0.84109999999999996</v>
      </c>
      <c r="I4">
        <v>0.1404</v>
      </c>
      <c r="J4">
        <v>3.3340000000000002E-2</v>
      </c>
      <c r="K4">
        <v>2.368E-2</v>
      </c>
      <c r="L4">
        <v>9.5399999999999991</v>
      </c>
      <c r="M4">
        <v>1.1319999999999999</v>
      </c>
      <c r="N4">
        <v>0.74990000000000001</v>
      </c>
      <c r="O4">
        <v>0.74690000000000001</v>
      </c>
      <c r="P4" t="s">
        <v>33</v>
      </c>
      <c r="Q4" t="s">
        <v>34</v>
      </c>
      <c r="R4" t="s">
        <v>35</v>
      </c>
      <c r="S4">
        <v>117</v>
      </c>
      <c r="T4">
        <v>287</v>
      </c>
      <c r="U4" s="1" t="s">
        <v>36</v>
      </c>
      <c r="V4">
        <v>296</v>
      </c>
      <c r="W4" t="s">
        <v>37</v>
      </c>
      <c r="X4">
        <v>291.5</v>
      </c>
    </row>
    <row r="5" spans="1:24" x14ac:dyDescent="0.2">
      <c r="A5">
        <v>4</v>
      </c>
      <c r="B5">
        <v>4</v>
      </c>
      <c r="C5">
        <v>110</v>
      </c>
      <c r="D5">
        <v>119.7</v>
      </c>
      <c r="E5">
        <v>9.7100000000000009</v>
      </c>
      <c r="F5">
        <v>0.68810000000000004</v>
      </c>
      <c r="G5">
        <v>114.1</v>
      </c>
      <c r="H5">
        <v>0.83160000000000001</v>
      </c>
      <c r="I5">
        <v>0.14360000000000001</v>
      </c>
      <c r="J5">
        <v>3.2820000000000002E-2</v>
      </c>
      <c r="K5">
        <v>2.026E-2</v>
      </c>
      <c r="L5">
        <v>9.4250000000000007</v>
      </c>
      <c r="M5">
        <v>1.1679999999999999</v>
      </c>
      <c r="N5">
        <v>0.74029999999999996</v>
      </c>
      <c r="O5">
        <v>0.73719999999999997</v>
      </c>
      <c r="P5" t="s">
        <v>38</v>
      </c>
      <c r="Q5" t="s">
        <v>39</v>
      </c>
      <c r="R5" t="s">
        <v>40</v>
      </c>
      <c r="S5">
        <v>117</v>
      </c>
      <c r="T5">
        <v>282</v>
      </c>
      <c r="U5" s="1" t="s">
        <v>41</v>
      </c>
      <c r="V5">
        <v>291</v>
      </c>
      <c r="W5" t="s">
        <v>42</v>
      </c>
      <c r="X5">
        <v>286.5</v>
      </c>
    </row>
    <row r="6" spans="1:24" x14ac:dyDescent="0.2">
      <c r="A6">
        <v>5</v>
      </c>
      <c r="B6">
        <v>5</v>
      </c>
      <c r="C6">
        <v>140</v>
      </c>
      <c r="D6">
        <v>149.69999999999999</v>
      </c>
      <c r="E6">
        <v>9.7230000000000008</v>
      </c>
      <c r="F6">
        <v>0.6784</v>
      </c>
      <c r="G6">
        <v>144.1</v>
      </c>
      <c r="H6">
        <v>0.81679999999999997</v>
      </c>
      <c r="I6">
        <v>0.13830000000000001</v>
      </c>
      <c r="J6">
        <v>3.3570000000000003E-2</v>
      </c>
      <c r="K6">
        <v>2.3689999999999999E-2</v>
      </c>
      <c r="L6">
        <v>9.2530000000000001</v>
      </c>
      <c r="M6">
        <v>1.1120000000000001</v>
      </c>
      <c r="N6">
        <v>0.72509999999999997</v>
      </c>
      <c r="O6">
        <v>0.72409999999999997</v>
      </c>
      <c r="P6" t="s">
        <v>43</v>
      </c>
      <c r="Q6" t="s">
        <v>44</v>
      </c>
      <c r="R6" t="s">
        <v>45</v>
      </c>
      <c r="S6">
        <v>117</v>
      </c>
      <c r="T6">
        <v>277</v>
      </c>
      <c r="U6" s="1" t="s">
        <v>46</v>
      </c>
      <c r="V6">
        <v>286</v>
      </c>
      <c r="W6" t="s">
        <v>47</v>
      </c>
      <c r="X6">
        <v>281.5</v>
      </c>
    </row>
    <row r="7" spans="1:24" x14ac:dyDescent="0.2">
      <c r="R7" s="4">
        <f>DATE(2001, 1, T7)</f>
        <v>37178</v>
      </c>
      <c r="T7" s="5">
        <f>AVERAGE(T2:T6)</f>
        <v>287.2</v>
      </c>
      <c r="U7" s="4">
        <f>DATE(2001, 1, V7)</f>
        <v>37187</v>
      </c>
      <c r="V7" s="5">
        <f>AVERAGE(V2:V6)</f>
        <v>296.2</v>
      </c>
      <c r="W7" s="4">
        <f>DATE(2001, 1, X7)</f>
        <v>37182</v>
      </c>
      <c r="X7" s="5">
        <f>AVERAGE(X2:X6)</f>
        <v>291.7</v>
      </c>
    </row>
    <row r="8" spans="1:24" x14ac:dyDescent="0.2">
      <c r="R8" s="3"/>
      <c r="U8" s="3"/>
      <c r="W8" s="3"/>
    </row>
    <row r="9" spans="1:24" x14ac:dyDescent="0.2">
      <c r="R9" s="3"/>
      <c r="U9" s="3"/>
      <c r="W9" s="3"/>
    </row>
    <row r="10" spans="1:24" x14ac:dyDescent="0.2">
      <c r="R10" s="3"/>
      <c r="U10" s="3"/>
      <c r="W10" s="3"/>
    </row>
    <row r="11" spans="1:24" x14ac:dyDescent="0.2">
      <c r="R11" s="3"/>
      <c r="U11" s="3"/>
      <c r="W11" s="3"/>
    </row>
    <row r="12" spans="1:24" x14ac:dyDescent="0.2">
      <c r="R12" s="4"/>
      <c r="U12" s="4"/>
      <c r="W12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rio_doce_S1_RVI_seasonality_pro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Bruce  Bell</dc:creator>
  <cp:lastModifiedBy>James Bruce  Bell</cp:lastModifiedBy>
  <dcterms:created xsi:type="dcterms:W3CDTF">2023-05-29T23:14:16Z</dcterms:created>
  <dcterms:modified xsi:type="dcterms:W3CDTF">2023-05-29T23:14:16Z</dcterms:modified>
</cp:coreProperties>
</file>