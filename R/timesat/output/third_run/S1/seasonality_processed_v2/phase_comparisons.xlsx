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timesat/output/third_run/S2/seasonality_processed_v2/"/>
    </mc:Choice>
  </mc:AlternateContent>
  <xr:revisionPtr revIDLastSave="0" documentId="13_ncr:40009_{3B760051-1255-B641-BBE7-73496D11B3F0}" xr6:coauthVersionLast="47" xr6:coauthVersionMax="47" xr10:uidLastSave="{00000000-0000-0000-0000-000000000000}"/>
  <bookViews>
    <workbookView xWindow="1080" yWindow="500" windowWidth="27640" windowHeight="16440" activeTab="2"/>
  </bookViews>
  <sheets>
    <sheet name="rio_doce_S1_RVI_seasonality_pro" sheetId="2" r:id="rId1"/>
    <sheet name="sooretama_S1_RVI_seasonality_pr" sheetId="3" r:id="rId2"/>
    <sheet name="diffs" sheetId="4" r:id="rId3"/>
  </sheets>
  <calcPr calcId="0"/>
</workbook>
</file>

<file path=xl/calcChain.xml><?xml version="1.0" encoding="utf-8"?>
<calcChain xmlns="http://schemas.openxmlformats.org/spreadsheetml/2006/main">
  <c r="C3" i="4" l="1"/>
  <c r="C2" i="4"/>
  <c r="G3" i="4"/>
  <c r="E3" i="4"/>
  <c r="G2" i="4"/>
  <c r="E2" i="4"/>
  <c r="T7" i="3"/>
  <c r="R7" i="3" s="1"/>
  <c r="V7" i="3"/>
  <c r="U7" i="3" s="1"/>
  <c r="X7" i="3"/>
  <c r="W7" i="3" s="1"/>
  <c r="T8" i="3"/>
  <c r="V8" i="3"/>
  <c r="X8" i="3"/>
  <c r="T7" i="2"/>
  <c r="R7" i="2" s="1"/>
  <c r="V7" i="2"/>
  <c r="U7" i="2" s="1"/>
  <c r="X7" i="2"/>
  <c r="W7" i="2" s="1"/>
  <c r="T8" i="2"/>
  <c r="V8" i="2"/>
  <c r="X8" i="2"/>
</calcChain>
</file>

<file path=xl/sharedStrings.xml><?xml version="1.0" encoding="utf-8"?>
<sst xmlns="http://schemas.openxmlformats.org/spreadsheetml/2006/main" count="105" uniqueCount="82">
  <si>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</si>
  <si>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</si>
  <si>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</si>
  <si>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</si>
  <si>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</si>
  <si>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</si>
  <si>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</si>
  <si>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</si>
  <si>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</si>
  <si>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</si>
  <si>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</si>
  <si>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</si>
  <si>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</si>
  <si>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</si>
  <si>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</si>
  <si>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</si>
  <si>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</si>
  <si>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</si>
  <si>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</si>
  <si>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</si>
  <si>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</si>
  <si>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</si>
  <si>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</si>
  <si>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SD</t>
  </si>
  <si>
    <t>average</t>
  </si>
  <si>
    <t>20-8-20</t>
  </si>
  <si>
    <t>20-10-13</t>
  </si>
  <si>
    <t>20-10-4</t>
  </si>
  <si>
    <t>20-12-10</t>
  </si>
  <si>
    <t>20-8-16</t>
  </si>
  <si>
    <t>19-8-26</t>
  </si>
  <si>
    <t>19-10-19</t>
  </si>
  <si>
    <t>19-10-10</t>
  </si>
  <si>
    <t>19-12-16</t>
  </si>
  <si>
    <t>19-8-22</t>
  </si>
  <si>
    <t>18-8-31</t>
  </si>
  <si>
    <t>18-10-24</t>
  </si>
  <si>
    <t>18-10-15</t>
  </si>
  <si>
    <t>18-12-22</t>
  </si>
  <si>
    <t>18-8-27</t>
  </si>
  <si>
    <t>17-9-5</t>
  </si>
  <si>
    <t>17-10-29</t>
  </si>
  <si>
    <t>17-10-20</t>
  </si>
  <si>
    <t>17-12-26</t>
  </si>
  <si>
    <t>17-9-1</t>
  </si>
  <si>
    <t>16-9-10</t>
  </si>
  <si>
    <t>16-11-3</t>
  </si>
  <si>
    <t>16-10-25</t>
  </si>
  <si>
    <t>17-1-1</t>
  </si>
  <si>
    <t>16-9-6</t>
  </si>
  <si>
    <t>20-9-16</t>
  </si>
  <si>
    <t>20-11-20</t>
  </si>
  <si>
    <t>20-10-21</t>
  </si>
  <si>
    <t>21-2-7</t>
  </si>
  <si>
    <t>20-9-1</t>
  </si>
  <si>
    <t>19-9-19</t>
  </si>
  <si>
    <t>19-11-24</t>
  </si>
  <si>
    <t>19-10-27</t>
  </si>
  <si>
    <t>20-2-13</t>
  </si>
  <si>
    <t>19-9-5</t>
  </si>
  <si>
    <t>18-9-24</t>
  </si>
  <si>
    <t>18-11-29</t>
  </si>
  <si>
    <t>18-11-1</t>
  </si>
  <si>
    <t>19-2-17</t>
  </si>
  <si>
    <t>18-9-10</t>
  </si>
  <si>
    <t>17-9-30</t>
  </si>
  <si>
    <t>17-12-5</t>
  </si>
  <si>
    <t>17-11-7</t>
  </si>
  <si>
    <t>18-2-22</t>
  </si>
  <si>
    <t>17-9-16</t>
  </si>
  <si>
    <t>16-10-5</t>
  </si>
  <si>
    <t>16-12-10</t>
  </si>
  <si>
    <t>16-11-11</t>
  </si>
  <si>
    <t>17-2-27</t>
  </si>
  <si>
    <t>16-9-21</t>
  </si>
  <si>
    <t>peak_date_diff</t>
  </si>
  <si>
    <t>length_days_diff</t>
  </si>
  <si>
    <t>phase_peak_diff</t>
  </si>
  <si>
    <t>season_half_date_diff</t>
  </si>
  <si>
    <t>phase_seas_diff</t>
  </si>
  <si>
    <t>season_ensemble_date_diff</t>
  </si>
  <si>
    <t>phase_ensemble_diff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</si>
</sst>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-d"/>
    <numFmt numFmtId="165" formatCode="yy\-mm\-d;@"/>
    <numFmt numFmtId="166" formatCode="yy\-mm\-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16" fillId="0" borderId="0" xfId="0" applyNumberFormat="1" applyFont="1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opLeftCell="I1" workbookViewId="0">
      <selection activeCell="U10" sqref="U10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20</v>
      </c>
      <c r="D2">
        <v>29.71</v>
      </c>
      <c r="E2">
        <v>9.7129999999999992</v>
      </c>
      <c r="F2">
        <v>0.72650000000000003</v>
      </c>
      <c r="G2">
        <v>24.12</v>
      </c>
      <c r="H2">
        <v>0.86780000000000002</v>
      </c>
      <c r="I2">
        <v>0.14130000000000001</v>
      </c>
      <c r="J2">
        <v>3.2050000000000002E-2</v>
      </c>
      <c r="K2">
        <v>2.3300000000000001E-2</v>
      </c>
      <c r="L2">
        <v>9.8640000000000008</v>
      </c>
      <c r="M2">
        <v>1.145</v>
      </c>
      <c r="N2">
        <v>0.77600000000000002</v>
      </c>
      <c r="O2">
        <v>0.77500000000000002</v>
      </c>
      <c r="P2" t="s">
        <v>49</v>
      </c>
      <c r="Q2" t="s">
        <v>48</v>
      </c>
      <c r="R2" t="s">
        <v>47</v>
      </c>
      <c r="S2">
        <v>117</v>
      </c>
      <c r="T2">
        <v>298</v>
      </c>
      <c r="U2" s="8" t="s">
        <v>46</v>
      </c>
      <c r="V2">
        <v>307</v>
      </c>
      <c r="W2" t="s">
        <v>45</v>
      </c>
      <c r="X2">
        <v>302.5</v>
      </c>
    </row>
    <row r="3" spans="1:24" x14ac:dyDescent="0.2">
      <c r="A3">
        <v>2</v>
      </c>
      <c r="B3">
        <v>2</v>
      </c>
      <c r="C3">
        <v>49.99</v>
      </c>
      <c r="D3">
        <v>59.7</v>
      </c>
      <c r="E3">
        <v>9.7100000000000009</v>
      </c>
      <c r="F3">
        <v>0.71460000000000001</v>
      </c>
      <c r="G3">
        <v>54.11</v>
      </c>
      <c r="H3">
        <v>0.8569</v>
      </c>
      <c r="I3">
        <v>0.14219999999999999</v>
      </c>
      <c r="J3">
        <v>3.3509999999999998E-2</v>
      </c>
      <c r="K3">
        <v>2.215E-2</v>
      </c>
      <c r="L3">
        <v>9.7249999999999996</v>
      </c>
      <c r="M3">
        <v>1.149</v>
      </c>
      <c r="N3">
        <v>0.7661</v>
      </c>
      <c r="O3">
        <v>0.76129999999999998</v>
      </c>
      <c r="P3" t="s">
        <v>44</v>
      </c>
      <c r="Q3" t="s">
        <v>43</v>
      </c>
      <c r="R3" t="s">
        <v>42</v>
      </c>
      <c r="S3">
        <v>117</v>
      </c>
      <c r="T3">
        <v>292</v>
      </c>
      <c r="U3" s="7" t="s">
        <v>41</v>
      </c>
      <c r="V3">
        <v>301</v>
      </c>
      <c r="W3" t="s">
        <v>40</v>
      </c>
      <c r="X3">
        <v>296.5</v>
      </c>
    </row>
    <row r="4" spans="1:24" x14ac:dyDescent="0.2">
      <c r="A4">
        <v>3</v>
      </c>
      <c r="B4">
        <v>3</v>
      </c>
      <c r="C4">
        <v>80</v>
      </c>
      <c r="D4">
        <v>89.71</v>
      </c>
      <c r="E4">
        <v>9.7149999999999999</v>
      </c>
      <c r="F4">
        <v>0.70069999999999999</v>
      </c>
      <c r="G4">
        <v>84.11</v>
      </c>
      <c r="H4">
        <v>0.84109999999999996</v>
      </c>
      <c r="I4">
        <v>0.1404</v>
      </c>
      <c r="J4">
        <v>3.3340000000000002E-2</v>
      </c>
      <c r="K4">
        <v>2.368E-2</v>
      </c>
      <c r="L4">
        <v>9.5399999999999991</v>
      </c>
      <c r="M4">
        <v>1.1319999999999999</v>
      </c>
      <c r="N4">
        <v>0.74990000000000001</v>
      </c>
      <c r="O4">
        <v>0.74690000000000001</v>
      </c>
      <c r="P4" t="s">
        <v>39</v>
      </c>
      <c r="Q4" t="s">
        <v>38</v>
      </c>
      <c r="R4" t="s">
        <v>37</v>
      </c>
      <c r="S4">
        <v>117</v>
      </c>
      <c r="T4">
        <v>287</v>
      </c>
      <c r="U4" s="7" t="s">
        <v>36</v>
      </c>
      <c r="V4">
        <v>296</v>
      </c>
      <c r="W4" t="s">
        <v>35</v>
      </c>
      <c r="X4">
        <v>291.5</v>
      </c>
    </row>
    <row r="5" spans="1:24" x14ac:dyDescent="0.2">
      <c r="A5">
        <v>4</v>
      </c>
      <c r="B5">
        <v>4</v>
      </c>
      <c r="C5">
        <v>110</v>
      </c>
      <c r="D5">
        <v>119.7</v>
      </c>
      <c r="E5">
        <v>9.7100000000000009</v>
      </c>
      <c r="F5">
        <v>0.68810000000000004</v>
      </c>
      <c r="G5">
        <v>114.1</v>
      </c>
      <c r="H5">
        <v>0.83160000000000001</v>
      </c>
      <c r="I5">
        <v>0.14360000000000001</v>
      </c>
      <c r="J5">
        <v>3.2820000000000002E-2</v>
      </c>
      <c r="K5">
        <v>2.026E-2</v>
      </c>
      <c r="L5">
        <v>9.4250000000000007</v>
      </c>
      <c r="M5">
        <v>1.1679999999999999</v>
      </c>
      <c r="N5">
        <v>0.74029999999999996</v>
      </c>
      <c r="O5">
        <v>0.73719999999999997</v>
      </c>
      <c r="P5" t="s">
        <v>34</v>
      </c>
      <c r="Q5" t="s">
        <v>33</v>
      </c>
      <c r="R5" t="s">
        <v>32</v>
      </c>
      <c r="S5">
        <v>117</v>
      </c>
      <c r="T5">
        <v>282</v>
      </c>
      <c r="U5" s="7" t="s">
        <v>31</v>
      </c>
      <c r="V5">
        <v>291</v>
      </c>
      <c r="W5" t="s">
        <v>30</v>
      </c>
      <c r="X5">
        <v>286.5</v>
      </c>
    </row>
    <row r="6" spans="1:24" x14ac:dyDescent="0.2">
      <c r="A6">
        <v>5</v>
      </c>
      <c r="B6">
        <v>5</v>
      </c>
      <c r="C6">
        <v>140</v>
      </c>
      <c r="D6">
        <v>149.69999999999999</v>
      </c>
      <c r="E6">
        <v>9.7230000000000008</v>
      </c>
      <c r="F6">
        <v>0.6784</v>
      </c>
      <c r="G6">
        <v>144.1</v>
      </c>
      <c r="H6">
        <v>0.81679999999999997</v>
      </c>
      <c r="I6">
        <v>0.13830000000000001</v>
      </c>
      <c r="J6">
        <v>3.3570000000000003E-2</v>
      </c>
      <c r="K6">
        <v>2.3689999999999999E-2</v>
      </c>
      <c r="L6">
        <v>9.2530000000000001</v>
      </c>
      <c r="M6">
        <v>1.1120000000000001</v>
      </c>
      <c r="N6">
        <v>0.72509999999999997</v>
      </c>
      <c r="O6">
        <v>0.72409999999999997</v>
      </c>
      <c r="P6" t="s">
        <v>29</v>
      </c>
      <c r="Q6" t="s">
        <v>28</v>
      </c>
      <c r="R6" t="s">
        <v>27</v>
      </c>
      <c r="S6">
        <v>117</v>
      </c>
      <c r="T6">
        <v>277</v>
      </c>
      <c r="U6" s="7" t="s">
        <v>26</v>
      </c>
      <c r="V6">
        <v>286</v>
      </c>
      <c r="W6" t="s">
        <v>25</v>
      </c>
      <c r="X6">
        <v>281.5</v>
      </c>
    </row>
    <row r="7" spans="1:24" x14ac:dyDescent="0.2">
      <c r="A7" t="s">
        <v>24</v>
      </c>
      <c r="R7" s="5">
        <f>DATE(2001, 1, T7)</f>
        <v>37178</v>
      </c>
      <c r="S7" s="6"/>
      <c r="T7" s="4">
        <f>AVERAGE(T2:T6)</f>
        <v>287.2</v>
      </c>
      <c r="U7" s="5">
        <f>DATE(2001, 1, V7)</f>
        <v>37187</v>
      </c>
      <c r="V7" s="4">
        <f>AVERAGE(V2:V6)</f>
        <v>296.2</v>
      </c>
      <c r="W7" s="5">
        <f>DATE(2001, 1, X7)</f>
        <v>37182</v>
      </c>
      <c r="X7" s="4">
        <f>AVERAGE(X2:X6)</f>
        <v>291.7</v>
      </c>
    </row>
    <row r="8" spans="1:24" x14ac:dyDescent="0.2">
      <c r="A8" t="s">
        <v>23</v>
      </c>
      <c r="R8" s="2"/>
      <c r="T8" s="3">
        <f>STDEV(T2:T6)</f>
        <v>8.228000972289685</v>
      </c>
      <c r="U8" s="2"/>
      <c r="V8" s="3">
        <f>STDEV(V2:V6)</f>
        <v>8.228000972289685</v>
      </c>
      <c r="W8" s="2"/>
      <c r="X8" s="3">
        <f>STDEV(X2:X6)</f>
        <v>8.228000972289685</v>
      </c>
    </row>
    <row r="9" spans="1:24" x14ac:dyDescent="0.2">
      <c r="R9" s="2"/>
      <c r="U9" s="2"/>
      <c r="W9" s="2"/>
      <c r="X9" s="3"/>
    </row>
    <row r="10" spans="1:24" x14ac:dyDescent="0.2">
      <c r="R10" s="2"/>
      <c r="U10" s="2"/>
      <c r="W10" s="2"/>
    </row>
    <row r="11" spans="1:24" x14ac:dyDescent="0.2">
      <c r="R11" s="2"/>
      <c r="U11" s="2"/>
      <c r="W11" s="2"/>
    </row>
    <row r="12" spans="1:24" x14ac:dyDescent="0.2">
      <c r="R12" s="1"/>
      <c r="U12" s="1"/>
      <c r="W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opLeftCell="E1" workbookViewId="0">
      <selection activeCell="U9" sqref="U9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21.24</v>
      </c>
      <c r="D2">
        <v>34.54</v>
      </c>
      <c r="E2">
        <v>13.29</v>
      </c>
      <c r="F2">
        <v>0.70469999999999999</v>
      </c>
      <c r="G2">
        <v>25.53</v>
      </c>
      <c r="H2">
        <v>0.83620000000000005</v>
      </c>
      <c r="I2">
        <v>0.13150000000000001</v>
      </c>
      <c r="J2">
        <v>2.1139999999999999E-2</v>
      </c>
      <c r="K2">
        <v>8.1539999999999998E-3</v>
      </c>
      <c r="L2">
        <v>11.75</v>
      </c>
      <c r="M2">
        <v>1.1830000000000001</v>
      </c>
      <c r="N2">
        <v>0.753</v>
      </c>
      <c r="O2">
        <v>0.75029999999999997</v>
      </c>
      <c r="P2" t="s">
        <v>74</v>
      </c>
      <c r="Q2" t="s">
        <v>73</v>
      </c>
      <c r="R2" t="s">
        <v>72</v>
      </c>
      <c r="S2">
        <v>159</v>
      </c>
      <c r="T2">
        <v>315</v>
      </c>
      <c r="U2" t="s">
        <v>71</v>
      </c>
      <c r="V2">
        <v>344</v>
      </c>
      <c r="W2" t="s">
        <v>70</v>
      </c>
      <c r="X2">
        <v>329.5</v>
      </c>
    </row>
    <row r="3" spans="1:24" x14ac:dyDescent="0.2">
      <c r="A3">
        <v>2</v>
      </c>
      <c r="B3">
        <v>2</v>
      </c>
      <c r="C3">
        <v>51.21</v>
      </c>
      <c r="D3">
        <v>64.48</v>
      </c>
      <c r="E3">
        <v>13.28</v>
      </c>
      <c r="F3">
        <v>0.68340000000000001</v>
      </c>
      <c r="G3">
        <v>55.55</v>
      </c>
      <c r="H3">
        <v>0.81859999999999999</v>
      </c>
      <c r="I3">
        <v>0.13519999999999999</v>
      </c>
      <c r="J3">
        <v>2.027E-2</v>
      </c>
      <c r="K3">
        <v>9.1489999999999991E-3</v>
      </c>
      <c r="L3">
        <v>11.46</v>
      </c>
      <c r="M3">
        <v>1.206</v>
      </c>
      <c r="N3">
        <v>0.73939999999999995</v>
      </c>
      <c r="O3">
        <v>0.72440000000000004</v>
      </c>
      <c r="P3" t="s">
        <v>69</v>
      </c>
      <c r="Q3" t="s">
        <v>68</v>
      </c>
      <c r="R3" t="s">
        <v>67</v>
      </c>
      <c r="S3">
        <v>159</v>
      </c>
      <c r="T3">
        <v>310</v>
      </c>
      <c r="U3" t="s">
        <v>66</v>
      </c>
      <c r="V3">
        <v>338</v>
      </c>
      <c r="W3" t="s">
        <v>65</v>
      </c>
      <c r="X3">
        <v>324</v>
      </c>
    </row>
    <row r="4" spans="1:24" x14ac:dyDescent="0.2">
      <c r="A4">
        <v>3</v>
      </c>
      <c r="B4">
        <v>3</v>
      </c>
      <c r="C4">
        <v>81.2</v>
      </c>
      <c r="D4">
        <v>94.52</v>
      </c>
      <c r="E4">
        <v>13.32</v>
      </c>
      <c r="F4">
        <v>0.65259999999999996</v>
      </c>
      <c r="G4">
        <v>85.53</v>
      </c>
      <c r="H4">
        <v>0.78</v>
      </c>
      <c r="I4">
        <v>0.12740000000000001</v>
      </c>
      <c r="J4">
        <v>2.111E-2</v>
      </c>
      <c r="K4">
        <v>8.5229999999999993E-3</v>
      </c>
      <c r="L4">
        <v>10.9</v>
      </c>
      <c r="M4">
        <v>1.1080000000000001</v>
      </c>
      <c r="N4">
        <v>0.70030000000000003</v>
      </c>
      <c r="O4">
        <v>0.68979999999999997</v>
      </c>
      <c r="P4" t="s">
        <v>64</v>
      </c>
      <c r="Q4" t="s">
        <v>63</v>
      </c>
      <c r="R4" t="s">
        <v>62</v>
      </c>
      <c r="S4">
        <v>160</v>
      </c>
      <c r="T4">
        <v>304</v>
      </c>
      <c r="U4" t="s">
        <v>61</v>
      </c>
      <c r="V4">
        <v>332</v>
      </c>
      <c r="W4" t="s">
        <v>60</v>
      </c>
      <c r="X4">
        <v>318</v>
      </c>
    </row>
    <row r="5" spans="1:24" x14ac:dyDescent="0.2">
      <c r="A5">
        <v>4</v>
      </c>
      <c r="B5">
        <v>4</v>
      </c>
      <c r="C5">
        <v>111.2</v>
      </c>
      <c r="D5">
        <v>124.6</v>
      </c>
      <c r="E5">
        <v>13.32</v>
      </c>
      <c r="F5">
        <v>0.63759999999999994</v>
      </c>
      <c r="G5">
        <v>115.5</v>
      </c>
      <c r="H5">
        <v>0.76559999999999995</v>
      </c>
      <c r="I5">
        <v>0.12809999999999999</v>
      </c>
      <c r="J5">
        <v>2.1149999999999999E-2</v>
      </c>
      <c r="K5">
        <v>7.8969999999999995E-3</v>
      </c>
      <c r="L5">
        <v>10.7</v>
      </c>
      <c r="M5">
        <v>1.1379999999999999</v>
      </c>
      <c r="N5">
        <v>0.6825</v>
      </c>
      <c r="O5">
        <v>0.68110000000000004</v>
      </c>
      <c r="P5" t="s">
        <v>59</v>
      </c>
      <c r="Q5" t="s">
        <v>58</v>
      </c>
      <c r="R5" t="s">
        <v>57</v>
      </c>
      <c r="S5">
        <v>160</v>
      </c>
      <c r="T5">
        <v>299</v>
      </c>
      <c r="U5" t="s">
        <v>56</v>
      </c>
      <c r="V5">
        <v>327</v>
      </c>
      <c r="W5" t="s">
        <v>55</v>
      </c>
      <c r="X5">
        <v>313</v>
      </c>
    </row>
    <row r="6" spans="1:24" x14ac:dyDescent="0.2">
      <c r="A6">
        <v>5</v>
      </c>
      <c r="B6">
        <v>5</v>
      </c>
      <c r="C6">
        <v>141.30000000000001</v>
      </c>
      <c r="D6">
        <v>154.6</v>
      </c>
      <c r="E6">
        <v>13.31</v>
      </c>
      <c r="F6">
        <v>0.63829999999999998</v>
      </c>
      <c r="G6">
        <v>145.5</v>
      </c>
      <c r="H6">
        <v>0.76890000000000003</v>
      </c>
      <c r="I6">
        <v>0.13059999999999999</v>
      </c>
      <c r="J6">
        <v>2.154E-2</v>
      </c>
      <c r="K6">
        <v>7.7549999999999997E-3</v>
      </c>
      <c r="L6">
        <v>10.75</v>
      </c>
      <c r="M6">
        <v>1.18</v>
      </c>
      <c r="N6">
        <v>0.68400000000000005</v>
      </c>
      <c r="O6">
        <v>0.68610000000000004</v>
      </c>
      <c r="P6" t="s">
        <v>54</v>
      </c>
      <c r="Q6" t="s">
        <v>53</v>
      </c>
      <c r="R6" t="s">
        <v>52</v>
      </c>
      <c r="S6">
        <v>160</v>
      </c>
      <c r="T6">
        <v>294</v>
      </c>
      <c r="U6" t="s">
        <v>51</v>
      </c>
      <c r="V6">
        <v>324</v>
      </c>
      <c r="W6" t="s">
        <v>50</v>
      </c>
      <c r="X6">
        <v>309</v>
      </c>
    </row>
    <row r="7" spans="1:24" x14ac:dyDescent="0.2">
      <c r="R7" s="5">
        <f>DATE(2001, 1, T7)</f>
        <v>37195</v>
      </c>
      <c r="S7" s="6"/>
      <c r="T7" s="4">
        <f>AVERAGE(T2:T6)</f>
        <v>304.39999999999998</v>
      </c>
      <c r="U7" s="5">
        <f>DATE(2001, 1, V7)</f>
        <v>37224</v>
      </c>
      <c r="V7" s="4">
        <f>AVERAGE(V2:V6)</f>
        <v>333</v>
      </c>
      <c r="W7" s="5">
        <f>DATE(2001, 1, X7)</f>
        <v>37209</v>
      </c>
      <c r="X7" s="4">
        <f>AVERAGE(X2:X6)</f>
        <v>318.7</v>
      </c>
    </row>
    <row r="8" spans="1:24" x14ac:dyDescent="0.2">
      <c r="R8" s="2"/>
      <c r="T8" s="3">
        <f>STDEV(T2:T6)</f>
        <v>8.3845095265018337</v>
      </c>
      <c r="U8" s="2"/>
      <c r="V8" s="3">
        <f>STDEV(V2:V6)</f>
        <v>8.1240384046359608</v>
      </c>
      <c r="W8" s="2"/>
      <c r="X8" s="3">
        <f>STDEV(X2:X6)</f>
        <v>8.2431789984204507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9" sqref="C9"/>
    </sheetView>
  </sheetViews>
  <sheetFormatPr baseColWidth="10" defaultRowHeight="16" x14ac:dyDescent="0.2"/>
  <cols>
    <col min="1" max="1" width="13.5" bestFit="1" customWidth="1"/>
    <col min="2" max="2" width="14.83203125" bestFit="1" customWidth="1"/>
    <col min="3" max="3" width="14.6640625" bestFit="1" customWidth="1"/>
    <col min="4" max="4" width="19.6640625" bestFit="1" customWidth="1"/>
    <col min="5" max="5" width="14.5" bestFit="1" customWidth="1"/>
    <col min="6" max="6" width="24.6640625" bestFit="1" customWidth="1"/>
    <col min="7" max="7" width="19" bestFit="1" customWidth="1"/>
  </cols>
  <sheetData>
    <row r="1" spans="1:7" x14ac:dyDescent="0.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 x14ac:dyDescent="0.2">
      <c r="C2">
        <f>sooretama_S1_RVI_seasonality_pr!T7-rio_doce_S1_RVI_seasonality_pro!T7</f>
        <v>17.199999999999989</v>
      </c>
      <c r="E2">
        <f>sooretama_S1_RVI_seasonality_pr!V7-rio_doce_S1_RVI_seasonality_pro!V7</f>
        <v>36.800000000000011</v>
      </c>
      <c r="G2">
        <f>sooretama_S1_RVI_seasonality_pr!X7-rio_doce_S1_RVI_seasonality_pro!X7</f>
        <v>27</v>
      </c>
    </row>
    <row r="3" spans="1:7" x14ac:dyDescent="0.2">
      <c r="C3">
        <f>AVERAGE(rio_doce_S1_RVI_seasonality_pro!T8,sooretama_S1_RVI_seasonality_pr!T8)</f>
        <v>8.3062552493957593</v>
      </c>
      <c r="E3">
        <f>AVERAGE(rio_doce_S1_RVI_seasonality_pro!V8,sooretama_S1_RVI_seasonality_pr!V8)</f>
        <v>8.1760196884628229</v>
      </c>
      <c r="G3">
        <f>AVERAGE(rio_doce_S1_RVI_seasonality_pro!X8,sooretama_S1_RVI_seasonality_pr!X8)</f>
        <v>8.2355899853550678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rio_doce_S1_RVI_seasonality_pro</vt:lpstr>
      <vt:lpstr>sooretama_S1_RVI_seasonality_pr</vt:lpstr>
      <vt:lpstr>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2023-05-29T23:35:22Z</dcterms:created>
  <dcterms:modified xsi:type="dcterms:W3CDTF">2023-05-29T23:38:58Z</dcterms:modified>
</cp:coreProperties>
</file>