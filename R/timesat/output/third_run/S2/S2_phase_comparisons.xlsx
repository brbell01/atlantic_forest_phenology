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timesat/output/third_run/S2/"/>
    </mc:Choice>
  </mc:AlternateContent>
  <xr:revisionPtr revIDLastSave="0" documentId="13_ncr:40009_{980EBB48-9224-0C44-8B15-2BE29FD154DB}" xr6:coauthVersionLast="47" xr6:coauthVersionMax="47" xr10:uidLastSave="{00000000-0000-0000-0000-000000000000}"/>
  <bookViews>
    <workbookView xWindow="540" yWindow="8840" windowWidth="18460" windowHeight="9440" activeTab="2"/>
  </bookViews>
  <sheets>
    <sheet name="rio_doce_S2_EVI2_seasonality_pr" sheetId="1" r:id="rId1"/>
    <sheet name="sooretama_S2_EVI2_seasonality_p" sheetId="2" r:id="rId2"/>
    <sheet name="diff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2" l="1"/>
  <c r="V8" i="2"/>
  <c r="T8" i="2"/>
  <c r="X7" i="2"/>
  <c r="W7" i="2" s="1"/>
  <c r="V7" i="2"/>
  <c r="U7" i="2"/>
  <c r="T7" i="2"/>
  <c r="R7" i="2" s="1"/>
  <c r="X8" i="1"/>
  <c r="G3" i="3" s="1"/>
  <c r="V8" i="1"/>
  <c r="E3" i="3" s="1"/>
  <c r="T8" i="1"/>
  <c r="C3" i="3" s="1"/>
  <c r="X7" i="1"/>
  <c r="W7" i="1" s="1"/>
  <c r="V7" i="1"/>
  <c r="U7" i="1" s="1"/>
  <c r="T7" i="1"/>
  <c r="R7" i="1" s="1"/>
  <c r="C2" i="3" l="1"/>
  <c r="E2" i="3"/>
  <c r="G2" i="3"/>
</calcChain>
</file>

<file path=xl/sharedStrings.xml><?xml version="1.0" encoding="utf-8"?>
<sst xmlns="http://schemas.openxmlformats.org/spreadsheetml/2006/main" count="53" uniqueCount="30">
  <si>
    <t>Seas.</t>
  </si>
  <si>
    <t>Start.t.</t>
  </si>
  <si>
    <t>End.t.</t>
  </si>
  <si>
    <t>Length</t>
  </si>
  <si>
    <t>Base.val.</t>
  </si>
  <si>
    <t>Peak.t.</t>
  </si>
  <si>
    <t>Peak.val.</t>
  </si>
  <si>
    <t>Ampl.</t>
  </si>
  <si>
    <t>L.deriv.</t>
  </si>
  <si>
    <t>R.deriv.</t>
  </si>
  <si>
    <t>L.integral</t>
  </si>
  <si>
    <t>S.integral</t>
  </si>
  <si>
    <t>Start.val.</t>
  </si>
  <si>
    <t>End.val.</t>
  </si>
  <si>
    <t>season_start_date</t>
  </si>
  <si>
    <t>season_end_date</t>
  </si>
  <si>
    <t>peak_date</t>
  </si>
  <si>
    <t>length_days</t>
  </si>
  <si>
    <t>phase_peak</t>
  </si>
  <si>
    <t>season_half_date</t>
  </si>
  <si>
    <t>phase_seas</t>
  </si>
  <si>
    <t>season_ensemble_date</t>
  </si>
  <si>
    <t>phase_ensemble</t>
  </si>
  <si>
    <t>peak_date_diff</t>
  </si>
  <si>
    <t>length_days_diff</t>
  </si>
  <si>
    <t>phase_peak_diff</t>
  </si>
  <si>
    <t>season_half_date_diff</t>
  </si>
  <si>
    <t>phase_seas_diff</t>
  </si>
  <si>
    <t>season_ensemble_date_diff</t>
  </si>
  <si>
    <t>phase_ensemble_diff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</si>
</sst>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selection activeCell="D11" sqref="D11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>
        <v>1</v>
      </c>
      <c r="C2">
        <v>62.26</v>
      </c>
      <c r="D2">
        <v>97.73</v>
      </c>
      <c r="E2">
        <v>35.47</v>
      </c>
      <c r="F2">
        <v>0.34379999999999999</v>
      </c>
      <c r="G2">
        <v>74.25</v>
      </c>
      <c r="H2">
        <v>0.60489999999999999</v>
      </c>
      <c r="I2">
        <v>0.2611</v>
      </c>
      <c r="J2">
        <v>1.252E-2</v>
      </c>
      <c r="K2">
        <v>6.2459999999999998E-3</v>
      </c>
      <c r="L2">
        <v>19.66</v>
      </c>
      <c r="M2">
        <v>6.9359999999999999</v>
      </c>
      <c r="N2">
        <v>0.47020000000000001</v>
      </c>
      <c r="O2">
        <v>0.47220000000000001</v>
      </c>
      <c r="P2" s="1">
        <v>43780</v>
      </c>
      <c r="Q2" s="1">
        <v>43958</v>
      </c>
      <c r="R2" s="1">
        <v>43840</v>
      </c>
      <c r="S2">
        <v>177</v>
      </c>
      <c r="T2">
        <v>374</v>
      </c>
      <c r="U2" s="1">
        <v>43929</v>
      </c>
      <c r="V2">
        <v>463</v>
      </c>
      <c r="W2" s="1">
        <v>43884</v>
      </c>
      <c r="X2">
        <v>418</v>
      </c>
    </row>
    <row r="3" spans="1:24" x14ac:dyDescent="0.2">
      <c r="A3">
        <v>2</v>
      </c>
      <c r="B3">
        <v>2</v>
      </c>
      <c r="C3">
        <v>135.30000000000001</v>
      </c>
      <c r="D3">
        <v>170.7</v>
      </c>
      <c r="E3">
        <v>35.47</v>
      </c>
      <c r="F3">
        <v>0.34570000000000001</v>
      </c>
      <c r="G3">
        <v>147.19999999999999</v>
      </c>
      <c r="H3">
        <v>0.60770000000000002</v>
      </c>
      <c r="I3">
        <v>0.26200000000000001</v>
      </c>
      <c r="J3">
        <v>1.248E-2</v>
      </c>
      <c r="K3">
        <v>6.3140000000000002E-3</v>
      </c>
      <c r="L3">
        <v>19.739999999999998</v>
      </c>
      <c r="M3">
        <v>6.9539999999999997</v>
      </c>
      <c r="N3">
        <v>0.47339999999999999</v>
      </c>
      <c r="O3">
        <v>0.4733</v>
      </c>
      <c r="P3" s="1">
        <v>44145</v>
      </c>
      <c r="Q3" s="1">
        <v>44323</v>
      </c>
      <c r="R3" s="1">
        <v>44205</v>
      </c>
      <c r="S3">
        <v>177</v>
      </c>
      <c r="T3">
        <v>373</v>
      </c>
      <c r="U3" s="1">
        <v>44294</v>
      </c>
      <c r="V3">
        <v>462</v>
      </c>
      <c r="W3" s="1">
        <v>44249</v>
      </c>
      <c r="X3">
        <v>417</v>
      </c>
    </row>
    <row r="4" spans="1:24" x14ac:dyDescent="0.2">
      <c r="I4">
        <v>0.26155</v>
      </c>
    </row>
    <row r="7" spans="1:24" x14ac:dyDescent="0.2">
      <c r="R7" s="2">
        <f>DATE(2001, 1, T7)</f>
        <v>37264</v>
      </c>
      <c r="S7" s="3"/>
      <c r="T7" s="4">
        <f>AVERAGE(T2:T6)</f>
        <v>373.5</v>
      </c>
      <c r="U7" s="2">
        <f>DATE(2001, 1, V7)</f>
        <v>37353</v>
      </c>
      <c r="V7" s="4">
        <f>AVERAGE(V2:V6)</f>
        <v>462.5</v>
      </c>
      <c r="W7" s="2">
        <f>DATE(2001, 1, X7)</f>
        <v>37308</v>
      </c>
      <c r="X7" s="4">
        <f>AVERAGE(X2:X6)</f>
        <v>417.5</v>
      </c>
    </row>
    <row r="8" spans="1:24" x14ac:dyDescent="0.2">
      <c r="R8" s="5"/>
      <c r="T8" s="6">
        <f>STDEV(T2:T6)</f>
        <v>0.70710678118654757</v>
      </c>
      <c r="U8" s="5"/>
      <c r="V8" s="6">
        <f>STDEV(V2:V6)</f>
        <v>0.70710678118654757</v>
      </c>
      <c r="W8" s="5"/>
      <c r="X8" s="6">
        <f>STDEV(X2:X6)</f>
        <v>0.70710678118654757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selection activeCell="G17" sqref="G17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>
        <v>1</v>
      </c>
      <c r="C2">
        <v>60.55</v>
      </c>
      <c r="D2">
        <v>100.4</v>
      </c>
      <c r="E2">
        <v>39.83</v>
      </c>
      <c r="F2">
        <v>0.34289999999999998</v>
      </c>
      <c r="G2">
        <v>78.5</v>
      </c>
      <c r="H2">
        <v>0.60529999999999995</v>
      </c>
      <c r="I2">
        <v>0.26240000000000002</v>
      </c>
      <c r="J2">
        <v>8.038E-3</v>
      </c>
      <c r="K2">
        <v>6.0959999999999999E-3</v>
      </c>
      <c r="L2">
        <v>22.99</v>
      </c>
      <c r="M2">
        <v>8.5850000000000009</v>
      </c>
      <c r="N2">
        <v>0.50890000000000002</v>
      </c>
      <c r="O2">
        <v>0.50760000000000005</v>
      </c>
      <c r="P2" s="1">
        <v>43772</v>
      </c>
      <c r="Q2" s="1">
        <v>43971</v>
      </c>
      <c r="R2" s="1">
        <v>43861</v>
      </c>
      <c r="S2">
        <v>199</v>
      </c>
      <c r="T2">
        <v>395</v>
      </c>
      <c r="U2" s="1">
        <v>43961</v>
      </c>
      <c r="V2">
        <v>495</v>
      </c>
      <c r="W2" s="1">
        <v>43911</v>
      </c>
      <c r="X2">
        <v>445</v>
      </c>
    </row>
    <row r="3" spans="1:24" x14ac:dyDescent="0.2">
      <c r="A3">
        <v>2</v>
      </c>
      <c r="B3">
        <v>2</v>
      </c>
      <c r="C3">
        <v>133.6</v>
      </c>
      <c r="D3">
        <v>173.4</v>
      </c>
      <c r="E3">
        <v>39.83</v>
      </c>
      <c r="F3">
        <v>0.3397</v>
      </c>
      <c r="G3">
        <v>151.5</v>
      </c>
      <c r="H3">
        <v>0.60070000000000001</v>
      </c>
      <c r="I3">
        <v>0.26100000000000001</v>
      </c>
      <c r="J3">
        <v>7.979E-3</v>
      </c>
      <c r="K3">
        <v>6.051E-3</v>
      </c>
      <c r="L3">
        <v>22.79</v>
      </c>
      <c r="M3">
        <v>8.5259999999999998</v>
      </c>
      <c r="N3">
        <v>0.50460000000000005</v>
      </c>
      <c r="O3">
        <v>0.50319999999999998</v>
      </c>
      <c r="P3" s="1">
        <v>44137</v>
      </c>
      <c r="Q3" s="1">
        <v>44336</v>
      </c>
      <c r="R3" s="1">
        <v>44227</v>
      </c>
      <c r="S3">
        <v>199</v>
      </c>
      <c r="T3">
        <v>395</v>
      </c>
      <c r="U3" s="1">
        <v>44327</v>
      </c>
      <c r="V3">
        <v>495</v>
      </c>
      <c r="W3" s="1">
        <v>44277</v>
      </c>
      <c r="X3">
        <v>445</v>
      </c>
    </row>
    <row r="7" spans="1:24" x14ac:dyDescent="0.2">
      <c r="R7" s="2">
        <f>DATE(2001, 1, T7)</f>
        <v>37286</v>
      </c>
      <c r="S7" s="3"/>
      <c r="T7" s="4">
        <f>AVERAGE(T2:T6)</f>
        <v>395</v>
      </c>
      <c r="U7" s="2">
        <f>DATE(2001, 1, V7)</f>
        <v>37386</v>
      </c>
      <c r="V7" s="4">
        <f>AVERAGE(V2:V6)</f>
        <v>495</v>
      </c>
      <c r="W7" s="2">
        <f>DATE(2001, 1, X7)</f>
        <v>37336</v>
      </c>
      <c r="X7" s="4">
        <f>AVERAGE(X2:X6)</f>
        <v>445</v>
      </c>
    </row>
    <row r="8" spans="1:24" x14ac:dyDescent="0.2">
      <c r="R8" s="5"/>
      <c r="T8" s="6">
        <f>STDEV(T2:T6)</f>
        <v>0</v>
      </c>
      <c r="U8" s="5"/>
      <c r="V8" s="6">
        <f>STDEV(V2:V6)</f>
        <v>0</v>
      </c>
      <c r="W8" s="5"/>
      <c r="X8" s="6">
        <f>STDEV(X2:X6)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E11" sqref="E11"/>
    </sheetView>
  </sheetViews>
  <sheetFormatPr baseColWidth="10" defaultRowHeight="16" x14ac:dyDescent="0.2"/>
  <cols>
    <col min="1" max="1" width="13.5" bestFit="1" customWidth="1"/>
    <col min="2" max="2" width="14.83203125" bestFit="1" customWidth="1"/>
    <col min="3" max="3" width="14.6640625" bestFit="1" customWidth="1"/>
    <col min="4" max="4" width="19.6640625" bestFit="1" customWidth="1"/>
    <col min="5" max="5" width="14.5" bestFit="1" customWidth="1"/>
    <col min="6" max="6" width="24.6640625" bestFit="1" customWidth="1"/>
    <col min="7" max="7" width="19" bestFit="1" customWidth="1"/>
  </cols>
  <sheetData>
    <row r="1" spans="1:7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">
      <c r="C2">
        <f>ABS(rio_doce_S2_EVI2_seasonality_pr!T7-sooretama_S2_EVI2_seasonality_p!T7)</f>
        <v>21.5</v>
      </c>
      <c r="E2">
        <f>ABS(rio_doce_S2_EVI2_seasonality_pr!V7-sooretama_S2_EVI2_seasonality_p!V7)</f>
        <v>32.5</v>
      </c>
      <c r="G2">
        <f>ABS(rio_doce_S2_EVI2_seasonality_pr!X7-sooretama_S2_EVI2_seasonality_p!X7)</f>
        <v>27.5</v>
      </c>
    </row>
    <row r="3" spans="1:7" x14ac:dyDescent="0.2">
      <c r="C3">
        <f>AVERAGE(rio_doce_S2_EVI2_seasonality_pr!T8,sooretama_S2_EVI2_seasonality_p!T8)</f>
        <v>0.35355339059327379</v>
      </c>
      <c r="E3">
        <f>AVERAGE(rio_doce_S2_EVI2_seasonality_pr!V8,sooretama_S2_EVI2_seasonality_p!V8)</f>
        <v>0.35355339059327379</v>
      </c>
      <c r="G3">
        <f>AVERAGE(rio_doce_S2_EVI2_seasonality_pr!X8,sooretama_S2_EVI2_seasonality_p!X8)</f>
        <v>0.35355339059327379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rio_doce_S2_EVI2_seasonality_pr</vt:lpstr>
      <vt:lpstr>sooretama_S2_EVI2_seasonality_p</vt:lpstr>
      <vt:lpstr>diffs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2023-05-30T00:01:52Z</dcterms:created>
  <dcterms:modified xsi:type="dcterms:W3CDTF">2023-05-30T00:15:39Z</dcterms:modified>
</cp:coreProperties>
</file>