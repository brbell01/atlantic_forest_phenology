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bell01/Google Drive/PHD/CUNY/Research/R/Phenology/raw/s2/1ha/harmonic/"/>
    </mc:Choice>
  </mc:AlternateContent>
  <xr:revisionPtr revIDLastSave="0" documentId="13_ncr:1_{55F6DF6E-D1C2-1C4D-87B4-DFE38D7001E8}" xr6:coauthVersionLast="47" xr6:coauthVersionMax="47" xr10:uidLastSave="{00000000-0000-0000-0000-000000000000}"/>
  <bookViews>
    <workbookView xWindow="4660" yWindow="500" windowWidth="18460" windowHeight="9440" activeTab="2" xr2:uid="{00000000-000D-0000-FFFF-FFFF00000000}"/>
  </bookViews>
  <sheets>
    <sheet name="rio_doce_S2_EVI2_seasonality_pr" sheetId="1" r:id="rId1"/>
    <sheet name="sooretama_S2_EVI2_seasonality_p" sheetId="2" r:id="rId2"/>
    <sheet name="diff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X8" i="2"/>
  <c r="V8" i="2"/>
  <c r="T8" i="2"/>
  <c r="X7" i="2"/>
  <c r="W7" i="2" s="1"/>
  <c r="V7" i="2"/>
  <c r="U7" i="2"/>
  <c r="T7" i="2"/>
  <c r="R7" i="2" s="1"/>
  <c r="X8" i="1"/>
  <c r="G3" i="3" s="1"/>
  <c r="V8" i="1"/>
  <c r="E3" i="3" s="1"/>
  <c r="T8" i="1"/>
  <c r="C3" i="3" s="1"/>
  <c r="X7" i="1"/>
  <c r="W7" i="1" s="1"/>
  <c r="V7" i="1"/>
  <c r="U7" i="1" s="1"/>
  <c r="T7" i="1"/>
  <c r="R7" i="1" s="1"/>
  <c r="E2" i="3" l="1"/>
  <c r="G2" i="3"/>
</calcChain>
</file>

<file path=xl/sharedStrings.xml><?xml version="1.0" encoding="utf-8"?>
<sst xmlns="http://schemas.openxmlformats.org/spreadsheetml/2006/main" count="53" uniqueCount="30">
  <si>
    <t>Seas.</t>
  </si>
  <si>
    <t>Start.t.</t>
  </si>
  <si>
    <t>End.t.</t>
  </si>
  <si>
    <t>Length</t>
  </si>
  <si>
    <t>Base.val.</t>
  </si>
  <si>
    <t>Peak.t.</t>
  </si>
  <si>
    <t>Peak.val.</t>
  </si>
  <si>
    <t>Ampl.</t>
  </si>
  <si>
    <t>L.deriv.</t>
  </si>
  <si>
    <t>R.deriv.</t>
  </si>
  <si>
    <t>L.integral</t>
  </si>
  <si>
    <t>S.integral</t>
  </si>
  <si>
    <t>Start.val.</t>
  </si>
  <si>
    <t>End.val.</t>
  </si>
  <si>
    <t>season_start_date</t>
  </si>
  <si>
    <t>season_end_date</t>
  </si>
  <si>
    <t>peak_date</t>
  </si>
  <si>
    <t>length_days</t>
  </si>
  <si>
    <t>phase_peak</t>
  </si>
  <si>
    <t>season_half_date</t>
  </si>
  <si>
    <t>phase_seas</t>
  </si>
  <si>
    <t>season_ensemble_date</t>
  </si>
  <si>
    <t>phase_ensemble</t>
  </si>
  <si>
    <t>peak_date_diff</t>
  </si>
  <si>
    <t>length_days_diff</t>
  </si>
  <si>
    <t>phase_peak_diff</t>
  </si>
  <si>
    <t>season_half_date_diff</t>
  </si>
  <si>
    <t>phase_seas_diff</t>
  </si>
  <si>
    <t>season_ensemble_date_diff</t>
  </si>
  <si>
    <t>phase_ensemble_diff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</si>
</sst>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1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64" fontId="0" fillId="0" borderId="0" xfId="0" applyNumberFormat="1"/>
    <xf numFmtId="0" fontId="16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8"/>
  <sheetViews>
    <sheetView topLeftCell="O1" workbookViewId="0">
      <selection activeCell="T2" sqref="T2:T3"/>
    </sheetView>
  </sheetViews>
  <sheetFormatPr baseColWidth="10" defaultRowHeight="16" x14ac:dyDescent="0.2"/>
  <sheetData>
    <row r="1" spans="2:2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2:24" x14ac:dyDescent="0.2">
      <c r="P2" s="1"/>
      <c r="Q2" s="1"/>
      <c r="R2" s="1"/>
      <c r="T2">
        <v>33</v>
      </c>
      <c r="U2" s="1"/>
      <c r="W2" s="1"/>
    </row>
    <row r="3" spans="2:24" x14ac:dyDescent="0.2">
      <c r="P3" s="1"/>
      <c r="Q3" s="1"/>
      <c r="R3" s="1"/>
      <c r="T3">
        <v>38</v>
      </c>
      <c r="U3" s="1"/>
      <c r="W3" s="1"/>
    </row>
    <row r="4" spans="2:24" x14ac:dyDescent="0.2">
      <c r="I4">
        <v>0.26155</v>
      </c>
    </row>
    <row r="7" spans="2:24" x14ac:dyDescent="0.2">
      <c r="R7" s="2">
        <f>DATE(2001, 1, T7)</f>
        <v>36926</v>
      </c>
      <c r="S7" s="3"/>
      <c r="T7" s="4">
        <f>AVERAGE(T2:T6)</f>
        <v>35.5</v>
      </c>
      <c r="U7" s="2" t="e">
        <f>DATE(2001, 1, V7)</f>
        <v>#DIV/0!</v>
      </c>
      <c r="V7" s="4" t="e">
        <f>AVERAGE(V2:V6)</f>
        <v>#DIV/0!</v>
      </c>
      <c r="W7" s="2" t="e">
        <f>DATE(2001, 1, X7)</f>
        <v>#DIV/0!</v>
      </c>
      <c r="X7" s="4" t="e">
        <f>AVERAGE(X2:X6)</f>
        <v>#DIV/0!</v>
      </c>
    </row>
    <row r="8" spans="2:24" x14ac:dyDescent="0.2">
      <c r="R8" s="5"/>
      <c r="T8" s="6">
        <f>STDEV(T2:T6)</f>
        <v>3.5355339059327378</v>
      </c>
      <c r="U8" s="5"/>
      <c r="V8" s="6" t="e">
        <f>STDEV(V2:V6)</f>
        <v>#DIV/0!</v>
      </c>
      <c r="W8" s="5"/>
      <c r="X8" s="6" t="e">
        <f>STDEV(X2:X6)</f>
        <v>#DIV/0!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X8"/>
  <sheetViews>
    <sheetView topLeftCell="N1" workbookViewId="0">
      <selection activeCell="T2" sqref="T2:T3"/>
    </sheetView>
  </sheetViews>
  <sheetFormatPr baseColWidth="10" defaultRowHeight="16" x14ac:dyDescent="0.2"/>
  <sheetData>
    <row r="1" spans="2:2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2:24" x14ac:dyDescent="0.2">
      <c r="P2" s="1"/>
      <c r="Q2" s="1"/>
      <c r="R2" s="1"/>
      <c r="T2">
        <v>365</v>
      </c>
      <c r="U2" s="1"/>
      <c r="W2" s="1"/>
    </row>
    <row r="3" spans="2:24" x14ac:dyDescent="0.2">
      <c r="P3" s="1"/>
      <c r="Q3" s="1"/>
      <c r="R3" s="1"/>
      <c r="T3">
        <v>365</v>
      </c>
      <c r="U3" s="1"/>
      <c r="W3" s="1"/>
    </row>
    <row r="7" spans="2:24" x14ac:dyDescent="0.2">
      <c r="R7" s="2">
        <f>DATE(2001, 1, T7)</f>
        <v>37256</v>
      </c>
      <c r="S7" s="3"/>
      <c r="T7" s="4">
        <f>AVERAGE(T2:T6)</f>
        <v>365</v>
      </c>
      <c r="U7" s="2" t="e">
        <f>DATE(2001, 1, V7)</f>
        <v>#DIV/0!</v>
      </c>
      <c r="V7" s="4" t="e">
        <f>AVERAGE(V2:V6)</f>
        <v>#DIV/0!</v>
      </c>
      <c r="W7" s="2" t="e">
        <f>DATE(2001, 1, X7)</f>
        <v>#DIV/0!</v>
      </c>
      <c r="X7" s="4" t="e">
        <f>AVERAGE(X2:X6)</f>
        <v>#DIV/0!</v>
      </c>
    </row>
    <row r="8" spans="2:24" x14ac:dyDescent="0.2">
      <c r="R8" s="5"/>
      <c r="T8" s="6">
        <f>STDEV(T2:T6)</f>
        <v>0</v>
      </c>
      <c r="U8" s="5"/>
      <c r="V8" s="6" t="e">
        <f>STDEV(V2:V6)</f>
        <v>#DIV/0!</v>
      </c>
      <c r="W8" s="5"/>
      <c r="X8" s="6" t="e">
        <f>STDEV(X2:X6)</f>
        <v>#DIV/0!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tabSelected="1" workbookViewId="0">
      <selection activeCell="F10" sqref="F10"/>
    </sheetView>
  </sheetViews>
  <sheetFormatPr baseColWidth="10" defaultRowHeight="16" x14ac:dyDescent="0.2"/>
  <cols>
    <col min="1" max="1" width="13.5" bestFit="1" customWidth="1"/>
    <col min="2" max="2" width="14.83203125" bestFit="1" customWidth="1"/>
    <col min="3" max="3" width="14.6640625" bestFit="1" customWidth="1"/>
    <col min="4" max="4" width="19.6640625" bestFit="1" customWidth="1"/>
    <col min="5" max="5" width="14.5" bestFit="1" customWidth="1"/>
    <col min="6" max="6" width="24.6640625" bestFit="1" customWidth="1"/>
    <col min="7" max="7" width="19" bestFit="1" customWidth="1"/>
  </cols>
  <sheetData>
    <row r="1" spans="1:7" x14ac:dyDescent="0.2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</row>
    <row r="2" spans="1:7" x14ac:dyDescent="0.2">
      <c r="C2">
        <f>ABS(rio_doce_S2_EVI2_seasonality_pr!T7-sooretama_S2_EVI2_seasonality_p!T7+365)</f>
        <v>35.5</v>
      </c>
      <c r="E2" t="e">
        <f>ABS(rio_doce_S2_EVI2_seasonality_pr!V7-sooretama_S2_EVI2_seasonality_p!V7)</f>
        <v>#DIV/0!</v>
      </c>
      <c r="G2" t="e">
        <f>ABS(rio_doce_S2_EVI2_seasonality_pr!X7-sooretama_S2_EVI2_seasonality_p!X7)</f>
        <v>#DIV/0!</v>
      </c>
    </row>
    <row r="3" spans="1:7" x14ac:dyDescent="0.2">
      <c r="C3">
        <f>AVERAGE(rio_doce_S2_EVI2_seasonality_pr!T8,sooretama_S2_EVI2_seasonality_p!T8)</f>
        <v>1.7677669529663689</v>
      </c>
      <c r="E3" t="e">
        <f>AVERAGE(rio_doce_S2_EVI2_seasonality_pr!V8,sooretama_S2_EVI2_seasonality_p!V8)</f>
        <v>#DIV/0!</v>
      </c>
      <c r="G3" t="e">
        <f>AVERAGE(rio_doce_S2_EVI2_seasonality_pr!X8,sooretama_S2_EVI2_seasonality_p!X8)</f>
        <v>#DIV/0!</v>
      </c>
    </row>
    <row r="7" spans="1:7" x14ac:dyDescent="0.2">
      <c r="D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rio_doce_S2_EVI2_seasonality_pr</vt:lpstr>
      <vt:lpstr>sooretama_S2_EVI2_seasonality_p</vt:lpstr>
      <vt:lpstr>diffs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Bruce  Bell</dc:creator>
  <cp:lastModifiedBy>James Bruce  Bell</cp:lastModifiedBy>
  <dcterms:created xsi:type="dcterms:W3CDTF">2023-05-30T00:01:52Z</dcterms:created>
  <dcterms:modified xsi:type="dcterms:W3CDTF">2023-05-30T00:26:37Z</dcterms:modified>
</cp:coreProperties>
</file>