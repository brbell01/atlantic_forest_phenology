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bell01/Google Drive/PHD/CUNY/Research/R/Phenology/raw/s1/1ha/second_run/HectID_corrections/"/>
    </mc:Choice>
  </mc:AlternateContent>
  <xr:revisionPtr revIDLastSave="0" documentId="13_ncr:1_{1C80C941-CFA3-0141-966A-4F32A73F2F56}" xr6:coauthVersionLast="47" xr6:coauthVersionMax="47" xr10:uidLastSave="{00000000-0000-0000-0000-000000000000}"/>
  <bookViews>
    <workbookView xWindow="0" yWindow="500" windowWidth="19200" windowHeight="17500" activeTab="1" xr2:uid="{00000000-000D-0000-FFFF-FFFF00000000}"/>
  </bookViews>
  <sheets>
    <sheet name="RioDoce_Hectares" sheetId="1" r:id="rId1"/>
    <sheet name="Rio_Doce_Hect_ID_clean_ordere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2" i="1"/>
  <c r="C4" i="1"/>
  <c r="C5" i="1"/>
  <c r="C6" i="1"/>
  <c r="C7" i="1"/>
  <c r="C8" i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3" i="1"/>
</calcChain>
</file>

<file path=xl/sharedStrings.xml><?xml version="1.0" encoding="utf-8"?>
<sst xmlns="http://schemas.openxmlformats.org/spreadsheetml/2006/main" count="10" uniqueCount="6">
  <si>
    <t>mean_doubl</t>
  </si>
  <si>
    <t>sort_key</t>
  </si>
  <si>
    <t>polygon_ID</t>
  </si>
  <si>
    <t>Hect_ID</t>
  </si>
  <si>
    <t>hect_ID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</si>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</sst>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rgb="FF454545"/>
      <name val="Courier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048576" totalsRowShown="0">
  <autoFilter ref="A1:B1048576" xr:uid="{00000000-0009-0000-0100-000001000000}"/>
  <sortState xmlns:xlrd2="http://schemas.microsoft.com/office/spreadsheetml/2017/richdata2" ref="A2:B1048576">
    <sortCondition ref="A1:A1048576"/>
  </sortState>
  <tableColumns count="2">
    <tableColumn id="1" xr3:uid="{00000000-0010-0000-0000-000001000000}" name="hect_ID"/>
    <tableColumn id="2" xr3:uid="{00000000-0010-0000-0000-000002000000}" name="mean_doub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workbookViewId="0">
      <selection activeCell="D1" activeCellId="1" sqref="B1:B1048576 D1:D1048576"/>
    </sheetView>
  </sheetViews>
  <sheetFormatPr baseColWidth="10" defaultRowHeight="16" x14ac:dyDescent="0.2"/>
  <cols>
    <col min="2" max="2" width="11.33203125" bestFit="1" customWidth="1"/>
    <col min="7" max="7" width="11.33203125" bestFit="1" customWidth="1"/>
    <col min="8" max="8" width="7.5" bestFit="1" customWidth="1"/>
  </cols>
  <sheetData>
    <row r="1" spans="1:8" x14ac:dyDescent="0.2">
      <c r="A1" t="s">
        <v>2</v>
      </c>
      <c r="B1" t="s">
        <v>0</v>
      </c>
      <c r="C1" t="s">
        <v>1</v>
      </c>
      <c r="D1" t="s">
        <v>4</v>
      </c>
      <c r="F1" t="s">
        <v>2</v>
      </c>
      <c r="G1" t="s">
        <v>0</v>
      </c>
      <c r="H1" t="s">
        <v>3</v>
      </c>
    </row>
    <row r="2" spans="1:8" ht="19" x14ac:dyDescent="0.25">
      <c r="A2">
        <v>21060</v>
      </c>
      <c r="B2">
        <v>1.1498999999999999</v>
      </c>
      <c r="C2">
        <v>1</v>
      </c>
      <c r="D2" s="1">
        <f>INDEX($H$2:$H$103, MATCH($A2, $F$2:$F$103, 0))</f>
        <v>9</v>
      </c>
      <c r="F2">
        <v>32070</v>
      </c>
      <c r="G2">
        <v>5.1006</v>
      </c>
      <c r="H2">
        <v>99</v>
      </c>
    </row>
    <row r="3" spans="1:8" ht="19" x14ac:dyDescent="0.25">
      <c r="A3">
        <v>64384</v>
      </c>
      <c r="B3">
        <v>9.4422999999999995</v>
      </c>
      <c r="C3">
        <f>C2+1</f>
        <v>2</v>
      </c>
      <c r="D3" s="1">
        <f t="shared" ref="D3:D66" si="0">INDEX($H$2:$H$103, MATCH($A3, $F$2:$F$103, 0))</f>
        <v>23</v>
      </c>
      <c r="F3">
        <v>20326</v>
      </c>
      <c r="G3">
        <v>7.9969000000000001</v>
      </c>
      <c r="H3">
        <v>98</v>
      </c>
    </row>
    <row r="4" spans="1:8" ht="19" x14ac:dyDescent="0.25">
      <c r="A4">
        <v>50758</v>
      </c>
      <c r="B4">
        <v>8.2279</v>
      </c>
      <c r="C4">
        <f t="shared" ref="C4:C67" si="1">C3+1</f>
        <v>3</v>
      </c>
      <c r="D4" s="1">
        <f t="shared" si="0"/>
        <v>27</v>
      </c>
      <c r="F4">
        <v>48026</v>
      </c>
      <c r="G4">
        <v>6.1009000000000002</v>
      </c>
      <c r="H4">
        <v>97</v>
      </c>
    </row>
    <row r="5" spans="1:8" ht="19" x14ac:dyDescent="0.25">
      <c r="A5">
        <v>65823</v>
      </c>
      <c r="B5">
        <v>10.855399999999999</v>
      </c>
      <c r="C5">
        <f t="shared" si="1"/>
        <v>4</v>
      </c>
      <c r="D5" s="1">
        <f t="shared" si="0"/>
        <v>72</v>
      </c>
      <c r="F5">
        <v>5059</v>
      </c>
      <c r="G5">
        <v>5.5663999999999998</v>
      </c>
      <c r="H5">
        <v>96</v>
      </c>
    </row>
    <row r="6" spans="1:8" ht="19" x14ac:dyDescent="0.25">
      <c r="A6">
        <v>37299</v>
      </c>
      <c r="B6">
        <v>10.135300000000001</v>
      </c>
      <c r="C6">
        <f t="shared" si="1"/>
        <v>5</v>
      </c>
      <c r="D6" s="1">
        <f t="shared" si="0"/>
        <v>127</v>
      </c>
      <c r="F6">
        <v>52533</v>
      </c>
      <c r="G6">
        <v>10.7217</v>
      </c>
      <c r="H6">
        <v>94</v>
      </c>
    </row>
    <row r="7" spans="1:8" ht="19" x14ac:dyDescent="0.25">
      <c r="A7">
        <v>10422</v>
      </c>
      <c r="B7">
        <v>5.5303000000000004</v>
      </c>
      <c r="C7">
        <f t="shared" si="1"/>
        <v>6</v>
      </c>
      <c r="D7" s="1">
        <f t="shared" si="0"/>
        <v>139</v>
      </c>
      <c r="F7">
        <v>6493</v>
      </c>
      <c r="G7">
        <v>6.8436000000000003</v>
      </c>
      <c r="H7">
        <v>92</v>
      </c>
    </row>
    <row r="8" spans="1:8" ht="19" x14ac:dyDescent="0.25">
      <c r="A8">
        <v>40220</v>
      </c>
      <c r="B8">
        <v>9.9319000000000006</v>
      </c>
      <c r="C8">
        <f t="shared" si="1"/>
        <v>7</v>
      </c>
      <c r="D8" s="1">
        <f t="shared" si="0"/>
        <v>65</v>
      </c>
      <c r="F8">
        <v>65102</v>
      </c>
      <c r="G8">
        <v>6.3550000000000004</v>
      </c>
      <c r="H8">
        <v>91</v>
      </c>
    </row>
    <row r="9" spans="1:8" ht="19" x14ac:dyDescent="0.25">
      <c r="A9">
        <v>40282</v>
      </c>
      <c r="B9">
        <v>5.8269000000000002</v>
      </c>
      <c r="C9">
        <f t="shared" si="1"/>
        <v>8</v>
      </c>
      <c r="D9" s="1">
        <f t="shared" si="0"/>
        <v>146</v>
      </c>
      <c r="F9">
        <v>21060</v>
      </c>
      <c r="G9">
        <v>1.1498999999999999</v>
      </c>
      <c r="H9">
        <v>9</v>
      </c>
    </row>
    <row r="10" spans="1:8" ht="19" x14ac:dyDescent="0.25">
      <c r="A10">
        <v>11862</v>
      </c>
      <c r="B10">
        <v>9.4311000000000007</v>
      </c>
      <c r="C10">
        <f t="shared" si="1"/>
        <v>9</v>
      </c>
      <c r="D10" s="1">
        <f t="shared" si="0"/>
        <v>37</v>
      </c>
      <c r="F10">
        <v>39114</v>
      </c>
      <c r="G10">
        <v>5.3430999999999997</v>
      </c>
      <c r="H10">
        <v>89</v>
      </c>
    </row>
    <row r="11" spans="1:8" ht="19" x14ac:dyDescent="0.25">
      <c r="A11">
        <v>41627</v>
      </c>
      <c r="B11">
        <v>5.7565999999999997</v>
      </c>
      <c r="C11">
        <f t="shared" si="1"/>
        <v>10</v>
      </c>
      <c r="D11" s="1">
        <f t="shared" si="0"/>
        <v>58</v>
      </c>
      <c r="F11">
        <v>53999</v>
      </c>
      <c r="G11">
        <v>7.1299000000000001</v>
      </c>
      <c r="H11">
        <v>88</v>
      </c>
    </row>
    <row r="12" spans="1:8" ht="19" x14ac:dyDescent="0.25">
      <c r="A12">
        <v>43198</v>
      </c>
      <c r="B12">
        <v>2.3904999999999998</v>
      </c>
      <c r="C12">
        <f t="shared" si="1"/>
        <v>11</v>
      </c>
      <c r="D12" s="1">
        <f t="shared" si="0"/>
        <v>137</v>
      </c>
      <c r="F12">
        <v>44839</v>
      </c>
      <c r="G12">
        <v>6.6886000000000001</v>
      </c>
      <c r="H12">
        <v>87</v>
      </c>
    </row>
    <row r="13" spans="1:8" ht="19" x14ac:dyDescent="0.25">
      <c r="A13">
        <v>14881</v>
      </c>
      <c r="B13">
        <v>0.54359999999999997</v>
      </c>
      <c r="C13">
        <f t="shared" si="1"/>
        <v>12</v>
      </c>
      <c r="D13" s="1">
        <f t="shared" si="0"/>
        <v>17</v>
      </c>
      <c r="F13">
        <v>33832</v>
      </c>
      <c r="G13">
        <v>6.5864000000000003</v>
      </c>
      <c r="H13">
        <v>86</v>
      </c>
    </row>
    <row r="14" spans="1:8" ht="19" x14ac:dyDescent="0.25">
      <c r="A14">
        <v>31140</v>
      </c>
      <c r="B14">
        <v>8.3323999999999998</v>
      </c>
      <c r="C14">
        <f t="shared" si="1"/>
        <v>13</v>
      </c>
      <c r="D14" s="1">
        <f t="shared" si="0"/>
        <v>112</v>
      </c>
      <c r="F14">
        <v>54448</v>
      </c>
      <c r="G14">
        <v>4.5315000000000003</v>
      </c>
      <c r="H14">
        <v>85</v>
      </c>
    </row>
    <row r="15" spans="1:8" ht="19" x14ac:dyDescent="0.25">
      <c r="A15">
        <v>31258</v>
      </c>
      <c r="B15">
        <v>10.694900000000001</v>
      </c>
      <c r="C15">
        <f t="shared" si="1"/>
        <v>14</v>
      </c>
      <c r="D15" s="1">
        <f t="shared" si="0"/>
        <v>138</v>
      </c>
      <c r="F15">
        <v>39571</v>
      </c>
      <c r="G15">
        <v>2.3138000000000001</v>
      </c>
      <c r="H15">
        <v>82</v>
      </c>
    </row>
    <row r="16" spans="1:8" ht="19" x14ac:dyDescent="0.25">
      <c r="A16">
        <v>2867</v>
      </c>
      <c r="B16">
        <v>7.5297999999999998</v>
      </c>
      <c r="C16">
        <f t="shared" si="1"/>
        <v>15</v>
      </c>
      <c r="D16" s="1">
        <f t="shared" si="0"/>
        <v>10</v>
      </c>
      <c r="F16">
        <v>53085</v>
      </c>
      <c r="G16">
        <v>0.31840000000000002</v>
      </c>
      <c r="H16">
        <v>81</v>
      </c>
    </row>
    <row r="17" spans="1:8" ht="19" x14ac:dyDescent="0.25">
      <c r="A17">
        <v>46052</v>
      </c>
      <c r="B17">
        <v>9.4741999999999997</v>
      </c>
      <c r="C17">
        <f t="shared" si="1"/>
        <v>16</v>
      </c>
      <c r="D17" s="1">
        <f t="shared" si="0"/>
        <v>125</v>
      </c>
      <c r="F17">
        <v>34397</v>
      </c>
      <c r="G17">
        <v>9.1486000000000001</v>
      </c>
      <c r="H17">
        <v>80</v>
      </c>
    </row>
    <row r="18" spans="1:8" ht="19" x14ac:dyDescent="0.25">
      <c r="A18">
        <v>46114</v>
      </c>
      <c r="B18">
        <v>2.6812</v>
      </c>
      <c r="C18">
        <f t="shared" si="1"/>
        <v>17</v>
      </c>
      <c r="D18" s="1">
        <f t="shared" si="0"/>
        <v>147</v>
      </c>
      <c r="F18">
        <v>16589</v>
      </c>
      <c r="G18">
        <v>9.8313000000000006</v>
      </c>
      <c r="H18">
        <v>8</v>
      </c>
    </row>
    <row r="19" spans="1:8" ht="19" x14ac:dyDescent="0.25">
      <c r="A19">
        <v>17726</v>
      </c>
      <c r="B19">
        <v>7.3402000000000003</v>
      </c>
      <c r="C19">
        <f t="shared" si="1"/>
        <v>18</v>
      </c>
      <c r="D19" s="1">
        <f t="shared" si="0"/>
        <v>142</v>
      </c>
      <c r="F19">
        <v>48304</v>
      </c>
      <c r="G19">
        <v>2.6154000000000002</v>
      </c>
      <c r="H19">
        <v>79</v>
      </c>
    </row>
    <row r="20" spans="1:8" ht="19" x14ac:dyDescent="0.25">
      <c r="A20">
        <v>32672</v>
      </c>
      <c r="B20">
        <v>2.3462000000000001</v>
      </c>
      <c r="C20">
        <f t="shared" si="1"/>
        <v>19</v>
      </c>
      <c r="D20" s="1">
        <f t="shared" si="0"/>
        <v>39</v>
      </c>
      <c r="F20">
        <v>28921</v>
      </c>
      <c r="G20">
        <v>9.4656000000000002</v>
      </c>
      <c r="H20">
        <v>78</v>
      </c>
    </row>
    <row r="21" spans="1:8" ht="19" x14ac:dyDescent="0.25">
      <c r="A21">
        <v>32478</v>
      </c>
      <c r="B21">
        <v>3.2212000000000001</v>
      </c>
      <c r="C21">
        <f t="shared" si="1"/>
        <v>20</v>
      </c>
      <c r="D21" s="1">
        <f t="shared" si="0"/>
        <v>33</v>
      </c>
      <c r="F21">
        <v>47104</v>
      </c>
      <c r="G21">
        <v>8.2683999999999997</v>
      </c>
      <c r="H21">
        <v>77</v>
      </c>
    </row>
    <row r="22" spans="1:8" ht="19" x14ac:dyDescent="0.25">
      <c r="A22">
        <v>47518</v>
      </c>
      <c r="B22">
        <v>7.6147999999999998</v>
      </c>
      <c r="C22">
        <f t="shared" si="1"/>
        <v>21</v>
      </c>
      <c r="D22" s="1">
        <f t="shared" si="0"/>
        <v>135</v>
      </c>
      <c r="F22">
        <v>10099</v>
      </c>
      <c r="G22">
        <v>4.5963000000000003</v>
      </c>
      <c r="H22">
        <v>76</v>
      </c>
    </row>
    <row r="23" spans="1:8" ht="19" x14ac:dyDescent="0.25">
      <c r="A23">
        <v>47541</v>
      </c>
      <c r="B23">
        <v>9.8322000000000003</v>
      </c>
      <c r="C23">
        <f t="shared" si="1"/>
        <v>22</v>
      </c>
      <c r="D23" s="1">
        <f t="shared" si="0"/>
        <v>30</v>
      </c>
      <c r="F23">
        <v>42422</v>
      </c>
      <c r="G23">
        <v>6.5814000000000004</v>
      </c>
      <c r="H23">
        <v>75</v>
      </c>
    </row>
    <row r="24" spans="1:8" ht="19" x14ac:dyDescent="0.25">
      <c r="A24">
        <v>47498</v>
      </c>
      <c r="B24">
        <v>8.7795000000000005</v>
      </c>
      <c r="C24">
        <f t="shared" si="1"/>
        <v>23</v>
      </c>
      <c r="D24" s="1">
        <f t="shared" si="0"/>
        <v>31</v>
      </c>
      <c r="F24">
        <v>65823</v>
      </c>
      <c r="G24">
        <v>10.855399999999999</v>
      </c>
      <c r="H24">
        <v>72</v>
      </c>
    </row>
    <row r="25" spans="1:8" ht="19" x14ac:dyDescent="0.25">
      <c r="A25">
        <v>19159</v>
      </c>
      <c r="B25">
        <v>7.1417999999999999</v>
      </c>
      <c r="C25">
        <f t="shared" si="1"/>
        <v>24</v>
      </c>
      <c r="D25" s="1">
        <f t="shared" si="0"/>
        <v>51</v>
      </c>
      <c r="F25">
        <v>18862</v>
      </c>
      <c r="G25">
        <v>1.08</v>
      </c>
      <c r="H25">
        <v>71</v>
      </c>
    </row>
    <row r="26" spans="1:8" ht="19" x14ac:dyDescent="0.25">
      <c r="A26">
        <v>33929</v>
      </c>
      <c r="B26">
        <v>6.2683999999999997</v>
      </c>
      <c r="C26">
        <f t="shared" si="1"/>
        <v>25</v>
      </c>
      <c r="D26" s="1">
        <f t="shared" si="0"/>
        <v>50</v>
      </c>
      <c r="F26">
        <v>15165</v>
      </c>
      <c r="G26">
        <v>4.9161999999999999</v>
      </c>
      <c r="H26">
        <v>7</v>
      </c>
    </row>
    <row r="27" spans="1:8" ht="19" x14ac:dyDescent="0.25">
      <c r="A27">
        <v>34063</v>
      </c>
      <c r="B27">
        <v>7.3182</v>
      </c>
      <c r="C27">
        <f t="shared" si="1"/>
        <v>26</v>
      </c>
      <c r="D27" s="1">
        <f t="shared" si="0"/>
        <v>144</v>
      </c>
      <c r="F27">
        <v>52703</v>
      </c>
      <c r="G27">
        <v>3.2273999999999998</v>
      </c>
      <c r="H27">
        <v>69</v>
      </c>
    </row>
    <row r="28" spans="1:8" ht="19" x14ac:dyDescent="0.25">
      <c r="A28">
        <v>35357</v>
      </c>
      <c r="B28">
        <v>5.9269999999999996</v>
      </c>
      <c r="C28">
        <f t="shared" si="1"/>
        <v>27</v>
      </c>
      <c r="D28" s="1">
        <f t="shared" si="0"/>
        <v>43</v>
      </c>
      <c r="F28">
        <v>3570</v>
      </c>
      <c r="G28">
        <v>2.6048</v>
      </c>
      <c r="H28">
        <v>68</v>
      </c>
    </row>
    <row r="29" spans="1:8" ht="19" x14ac:dyDescent="0.25">
      <c r="A29">
        <v>8659</v>
      </c>
      <c r="B29">
        <v>1.3360000000000001</v>
      </c>
      <c r="C29">
        <f t="shared" si="1"/>
        <v>28</v>
      </c>
      <c r="D29" s="1">
        <f t="shared" si="0"/>
        <v>111</v>
      </c>
      <c r="F29">
        <v>31595</v>
      </c>
      <c r="G29">
        <v>10.2942</v>
      </c>
      <c r="H29">
        <v>67</v>
      </c>
    </row>
    <row r="30" spans="1:8" ht="19" x14ac:dyDescent="0.25">
      <c r="A30">
        <v>23544</v>
      </c>
      <c r="B30">
        <v>7.4111000000000002</v>
      </c>
      <c r="C30">
        <f t="shared" si="1"/>
        <v>29</v>
      </c>
      <c r="D30" s="1">
        <f t="shared" si="0"/>
        <v>114</v>
      </c>
      <c r="F30">
        <v>31885</v>
      </c>
      <c r="G30">
        <v>6.1017000000000001</v>
      </c>
      <c r="H30">
        <v>66</v>
      </c>
    </row>
    <row r="31" spans="1:8" ht="19" x14ac:dyDescent="0.25">
      <c r="A31">
        <v>23606</v>
      </c>
      <c r="B31">
        <v>0</v>
      </c>
      <c r="C31">
        <f t="shared" si="1"/>
        <v>30</v>
      </c>
      <c r="D31" s="1">
        <f t="shared" si="0"/>
        <v>136</v>
      </c>
      <c r="F31">
        <v>40220</v>
      </c>
      <c r="G31">
        <v>9.9319000000000006</v>
      </c>
      <c r="H31">
        <v>65</v>
      </c>
    </row>
    <row r="32" spans="1:8" ht="19" x14ac:dyDescent="0.25">
      <c r="A32">
        <v>38251</v>
      </c>
      <c r="B32">
        <v>9.8924000000000003</v>
      </c>
      <c r="C32">
        <f t="shared" si="1"/>
        <v>31</v>
      </c>
      <c r="D32" s="1">
        <f t="shared" si="0"/>
        <v>115</v>
      </c>
      <c r="F32">
        <v>30182</v>
      </c>
      <c r="G32">
        <v>1.6487000000000001</v>
      </c>
      <c r="H32">
        <v>64</v>
      </c>
    </row>
    <row r="33" spans="1:8" ht="19" x14ac:dyDescent="0.25">
      <c r="A33">
        <v>10099</v>
      </c>
      <c r="B33">
        <v>4.5963000000000003</v>
      </c>
      <c r="C33">
        <f t="shared" si="1"/>
        <v>32</v>
      </c>
      <c r="D33" s="1">
        <f t="shared" si="0"/>
        <v>76</v>
      </c>
      <c r="F33">
        <v>33437</v>
      </c>
      <c r="G33">
        <v>7.8941999999999997</v>
      </c>
      <c r="H33">
        <v>63</v>
      </c>
    </row>
    <row r="34" spans="1:8" ht="19" x14ac:dyDescent="0.25">
      <c r="A34">
        <v>24896</v>
      </c>
      <c r="B34">
        <v>7.4981</v>
      </c>
      <c r="C34">
        <f t="shared" si="1"/>
        <v>33</v>
      </c>
      <c r="D34" s="1">
        <f t="shared" si="0"/>
        <v>32</v>
      </c>
      <c r="F34">
        <v>47054</v>
      </c>
      <c r="G34">
        <v>10.552</v>
      </c>
      <c r="H34">
        <v>61</v>
      </c>
    </row>
    <row r="35" spans="1:8" ht="19" x14ac:dyDescent="0.25">
      <c r="A35">
        <v>54923</v>
      </c>
      <c r="B35">
        <v>8.6943000000000001</v>
      </c>
      <c r="C35">
        <f t="shared" si="1"/>
        <v>34</v>
      </c>
      <c r="D35" s="1">
        <f t="shared" si="0"/>
        <v>110</v>
      </c>
      <c r="F35">
        <v>58880</v>
      </c>
      <c r="G35">
        <v>2.2770999999999999</v>
      </c>
      <c r="H35">
        <v>60</v>
      </c>
    </row>
    <row r="36" spans="1:8" ht="19" x14ac:dyDescent="0.25">
      <c r="A36">
        <v>56280</v>
      </c>
      <c r="B36">
        <v>7.9855999999999998</v>
      </c>
      <c r="C36">
        <f t="shared" si="1"/>
        <v>35</v>
      </c>
      <c r="D36" s="1">
        <f t="shared" si="0"/>
        <v>117</v>
      </c>
      <c r="F36">
        <v>47246</v>
      </c>
      <c r="G36">
        <v>3.9735999999999998</v>
      </c>
      <c r="H36">
        <v>59</v>
      </c>
    </row>
    <row r="37" spans="1:8" ht="19" x14ac:dyDescent="0.25">
      <c r="A37">
        <v>29160</v>
      </c>
      <c r="B37">
        <v>5.8316999999999997</v>
      </c>
      <c r="C37">
        <f t="shared" si="1"/>
        <v>36</v>
      </c>
      <c r="D37" s="1">
        <f t="shared" si="0"/>
        <v>26</v>
      </c>
      <c r="F37">
        <v>41627</v>
      </c>
      <c r="G37">
        <v>5.7565999999999997</v>
      </c>
      <c r="H37">
        <v>58</v>
      </c>
    </row>
    <row r="38" spans="1:8" ht="19" x14ac:dyDescent="0.25">
      <c r="A38">
        <v>15926</v>
      </c>
      <c r="B38">
        <v>2.7195</v>
      </c>
      <c r="C38">
        <f t="shared" si="1"/>
        <v>37</v>
      </c>
      <c r="D38" s="1">
        <f t="shared" si="0"/>
        <v>140</v>
      </c>
      <c r="F38">
        <v>41047</v>
      </c>
      <c r="G38">
        <v>4.2568000000000001</v>
      </c>
      <c r="H38">
        <v>56</v>
      </c>
    </row>
    <row r="39" spans="1:8" ht="19" x14ac:dyDescent="0.25">
      <c r="A39">
        <v>32070</v>
      </c>
      <c r="B39">
        <v>5.1006</v>
      </c>
      <c r="C39">
        <f t="shared" si="1"/>
        <v>38</v>
      </c>
      <c r="D39" s="1">
        <f t="shared" si="0"/>
        <v>99</v>
      </c>
      <c r="F39">
        <v>36333</v>
      </c>
      <c r="G39">
        <v>2.3567999999999998</v>
      </c>
      <c r="H39">
        <v>55</v>
      </c>
    </row>
    <row r="40" spans="1:8" ht="19" x14ac:dyDescent="0.25">
      <c r="A40">
        <v>47054</v>
      </c>
      <c r="B40">
        <v>10.552</v>
      </c>
      <c r="C40">
        <f t="shared" si="1"/>
        <v>39</v>
      </c>
      <c r="D40" s="1">
        <f t="shared" si="0"/>
        <v>61</v>
      </c>
      <c r="F40">
        <v>28661</v>
      </c>
      <c r="G40">
        <v>8.9330999999999996</v>
      </c>
      <c r="H40">
        <v>53</v>
      </c>
    </row>
    <row r="41" spans="1:8" ht="19" x14ac:dyDescent="0.25">
      <c r="A41">
        <v>47246</v>
      </c>
      <c r="B41">
        <v>3.9735999999999998</v>
      </c>
      <c r="C41">
        <f t="shared" si="1"/>
        <v>40</v>
      </c>
      <c r="D41" s="1">
        <f t="shared" si="0"/>
        <v>59</v>
      </c>
      <c r="F41">
        <v>19159</v>
      </c>
      <c r="G41">
        <v>7.1417999999999999</v>
      </c>
      <c r="H41">
        <v>51</v>
      </c>
    </row>
    <row r="42" spans="1:8" ht="19" x14ac:dyDescent="0.25">
      <c r="A42">
        <v>47104</v>
      </c>
      <c r="B42">
        <v>8.2683999999999997</v>
      </c>
      <c r="C42">
        <f t="shared" si="1"/>
        <v>41</v>
      </c>
      <c r="D42" s="1">
        <f t="shared" si="0"/>
        <v>77</v>
      </c>
      <c r="F42">
        <v>33929</v>
      </c>
      <c r="G42">
        <v>6.2683999999999997</v>
      </c>
      <c r="H42">
        <v>50</v>
      </c>
    </row>
    <row r="43" spans="1:8" ht="19" x14ac:dyDescent="0.25">
      <c r="A43">
        <v>18862</v>
      </c>
      <c r="B43">
        <v>1.08</v>
      </c>
      <c r="C43">
        <f t="shared" si="1"/>
        <v>42</v>
      </c>
      <c r="D43" s="1">
        <f t="shared" si="0"/>
        <v>71</v>
      </c>
      <c r="F43">
        <v>30385</v>
      </c>
      <c r="G43">
        <v>5.3723000000000001</v>
      </c>
      <c r="H43">
        <v>5</v>
      </c>
    </row>
    <row r="44" spans="1:8" ht="19" x14ac:dyDescent="0.25">
      <c r="A44">
        <v>33832</v>
      </c>
      <c r="B44">
        <v>6.5864000000000003</v>
      </c>
      <c r="C44">
        <f t="shared" si="1"/>
        <v>43</v>
      </c>
      <c r="D44" s="1">
        <f t="shared" si="0"/>
        <v>86</v>
      </c>
      <c r="F44">
        <v>31561</v>
      </c>
      <c r="G44">
        <v>5.2085999999999997</v>
      </c>
      <c r="H44">
        <v>48</v>
      </c>
    </row>
    <row r="45" spans="1:8" ht="19" x14ac:dyDescent="0.25">
      <c r="A45">
        <v>48732</v>
      </c>
      <c r="B45">
        <v>8.5573999999999995</v>
      </c>
      <c r="C45">
        <f t="shared" si="1"/>
        <v>44</v>
      </c>
      <c r="D45" s="1">
        <f t="shared" si="0"/>
        <v>109</v>
      </c>
      <c r="F45">
        <v>27636</v>
      </c>
      <c r="G45">
        <v>10.4245</v>
      </c>
      <c r="H45">
        <v>47</v>
      </c>
    </row>
    <row r="46" spans="1:8" ht="19" x14ac:dyDescent="0.25">
      <c r="A46">
        <v>20326</v>
      </c>
      <c r="B46">
        <v>7.9969000000000001</v>
      </c>
      <c r="C46">
        <f t="shared" si="1"/>
        <v>45</v>
      </c>
      <c r="D46" s="1">
        <f t="shared" si="0"/>
        <v>98</v>
      </c>
      <c r="F46">
        <v>58866</v>
      </c>
      <c r="G46">
        <v>3.6139999999999999</v>
      </c>
      <c r="H46">
        <v>46</v>
      </c>
    </row>
    <row r="47" spans="1:8" ht="19" x14ac:dyDescent="0.25">
      <c r="A47">
        <v>20221</v>
      </c>
      <c r="B47">
        <v>2.1920999999999999</v>
      </c>
      <c r="C47">
        <f t="shared" si="1"/>
        <v>46</v>
      </c>
      <c r="D47" s="1">
        <f t="shared" si="0"/>
        <v>24</v>
      </c>
      <c r="F47">
        <v>51171</v>
      </c>
      <c r="G47">
        <v>6.5960000000000001</v>
      </c>
      <c r="H47">
        <v>44</v>
      </c>
    </row>
    <row r="48" spans="1:8" ht="19" x14ac:dyDescent="0.25">
      <c r="A48">
        <v>35233</v>
      </c>
      <c r="B48">
        <v>1.8205</v>
      </c>
      <c r="C48">
        <f t="shared" si="1"/>
        <v>47</v>
      </c>
      <c r="D48" s="1">
        <f t="shared" si="0"/>
        <v>42</v>
      </c>
      <c r="F48">
        <v>35357</v>
      </c>
      <c r="G48">
        <v>5.9269999999999996</v>
      </c>
      <c r="H48">
        <v>43</v>
      </c>
    </row>
    <row r="49" spans="1:8" ht="19" x14ac:dyDescent="0.25">
      <c r="A49">
        <v>21807</v>
      </c>
      <c r="B49">
        <v>4.0053000000000001</v>
      </c>
      <c r="C49">
        <f t="shared" si="1"/>
        <v>48</v>
      </c>
      <c r="D49" s="1">
        <f t="shared" si="0"/>
        <v>103</v>
      </c>
      <c r="F49">
        <v>35233</v>
      </c>
      <c r="G49">
        <v>1.8205</v>
      </c>
      <c r="H49">
        <v>42</v>
      </c>
    </row>
    <row r="50" spans="1:8" ht="19" x14ac:dyDescent="0.25">
      <c r="A50">
        <v>65102</v>
      </c>
      <c r="B50">
        <v>6.3550000000000004</v>
      </c>
      <c r="C50">
        <f t="shared" si="1"/>
        <v>49</v>
      </c>
      <c r="D50" s="1">
        <f t="shared" si="0"/>
        <v>91</v>
      </c>
      <c r="F50">
        <v>36649</v>
      </c>
      <c r="G50">
        <v>7.4057000000000004</v>
      </c>
      <c r="H50">
        <v>41</v>
      </c>
    </row>
    <row r="51" spans="1:8" ht="19" x14ac:dyDescent="0.25">
      <c r="A51">
        <v>36649</v>
      </c>
      <c r="B51">
        <v>7.4057000000000004</v>
      </c>
      <c r="C51">
        <f t="shared" si="1"/>
        <v>50</v>
      </c>
      <c r="D51" s="1">
        <f t="shared" si="0"/>
        <v>41</v>
      </c>
      <c r="F51">
        <v>32672</v>
      </c>
      <c r="G51">
        <v>2.3462000000000001</v>
      </c>
      <c r="H51">
        <v>39</v>
      </c>
    </row>
    <row r="52" spans="1:8" ht="19" x14ac:dyDescent="0.25">
      <c r="A52">
        <v>51376</v>
      </c>
      <c r="B52">
        <v>7.4359000000000002</v>
      </c>
      <c r="C52">
        <f t="shared" si="1"/>
        <v>51</v>
      </c>
      <c r="D52" s="1">
        <f t="shared" si="0"/>
        <v>123</v>
      </c>
      <c r="F52">
        <v>11862</v>
      </c>
      <c r="G52">
        <v>9.4311000000000007</v>
      </c>
      <c r="H52">
        <v>37</v>
      </c>
    </row>
    <row r="53" spans="1:8" ht="19" x14ac:dyDescent="0.25">
      <c r="A53">
        <v>51557</v>
      </c>
      <c r="B53">
        <v>2.9712000000000001</v>
      </c>
      <c r="C53">
        <f t="shared" si="1"/>
        <v>52</v>
      </c>
      <c r="D53" s="1">
        <f t="shared" si="0"/>
        <v>148</v>
      </c>
      <c r="F53">
        <v>18533</v>
      </c>
      <c r="G53">
        <v>1.8869</v>
      </c>
      <c r="H53">
        <v>35</v>
      </c>
    </row>
    <row r="54" spans="1:8" ht="19" x14ac:dyDescent="0.25">
      <c r="A54">
        <v>53085</v>
      </c>
      <c r="B54">
        <v>0.31840000000000002</v>
      </c>
      <c r="C54">
        <f t="shared" si="1"/>
        <v>53</v>
      </c>
      <c r="D54" s="1">
        <f t="shared" si="0"/>
        <v>81</v>
      </c>
      <c r="F54">
        <v>57478</v>
      </c>
      <c r="G54">
        <v>10.437799999999999</v>
      </c>
      <c r="H54">
        <v>34</v>
      </c>
    </row>
    <row r="55" spans="1:8" ht="19" x14ac:dyDescent="0.25">
      <c r="A55">
        <v>52988</v>
      </c>
      <c r="B55">
        <v>9.3248999999999995</v>
      </c>
      <c r="C55">
        <f t="shared" si="1"/>
        <v>54</v>
      </c>
      <c r="D55" s="1">
        <f t="shared" si="0"/>
        <v>28</v>
      </c>
      <c r="F55">
        <v>32478</v>
      </c>
      <c r="G55">
        <v>3.2212000000000001</v>
      </c>
      <c r="H55">
        <v>33</v>
      </c>
    </row>
    <row r="56" spans="1:8" ht="19" x14ac:dyDescent="0.25">
      <c r="A56">
        <v>39571</v>
      </c>
      <c r="B56">
        <v>2.3138000000000001</v>
      </c>
      <c r="C56">
        <f t="shared" si="1"/>
        <v>55</v>
      </c>
      <c r="D56" s="1">
        <f t="shared" si="0"/>
        <v>82</v>
      </c>
      <c r="F56">
        <v>24896</v>
      </c>
      <c r="G56">
        <v>7.4981</v>
      </c>
      <c r="H56">
        <v>32</v>
      </c>
    </row>
    <row r="57" spans="1:8" ht="19" x14ac:dyDescent="0.25">
      <c r="A57">
        <v>39391</v>
      </c>
      <c r="B57">
        <v>4.8349000000000002</v>
      </c>
      <c r="C57">
        <f t="shared" si="1"/>
        <v>56</v>
      </c>
      <c r="D57" s="1">
        <f t="shared" si="0"/>
        <v>132</v>
      </c>
      <c r="F57">
        <v>47498</v>
      </c>
      <c r="G57">
        <v>8.7795000000000005</v>
      </c>
      <c r="H57">
        <v>31</v>
      </c>
    </row>
    <row r="58" spans="1:8" ht="19" x14ac:dyDescent="0.25">
      <c r="A58">
        <v>54448</v>
      </c>
      <c r="B58">
        <v>4.5315000000000003</v>
      </c>
      <c r="C58">
        <f t="shared" si="1"/>
        <v>57</v>
      </c>
      <c r="D58" s="1">
        <f t="shared" si="0"/>
        <v>85</v>
      </c>
      <c r="F58">
        <v>47541</v>
      </c>
      <c r="G58">
        <v>9.8322000000000003</v>
      </c>
      <c r="H58">
        <v>30</v>
      </c>
    </row>
    <row r="59" spans="1:8" ht="19" x14ac:dyDescent="0.25">
      <c r="A59">
        <v>41047</v>
      </c>
      <c r="B59">
        <v>4.2568000000000001</v>
      </c>
      <c r="C59">
        <f t="shared" si="1"/>
        <v>58</v>
      </c>
      <c r="D59" s="1">
        <f t="shared" si="0"/>
        <v>56</v>
      </c>
      <c r="F59">
        <v>43869</v>
      </c>
      <c r="G59">
        <v>10.0562</v>
      </c>
      <c r="H59">
        <v>3</v>
      </c>
    </row>
    <row r="60" spans="1:8" ht="19" x14ac:dyDescent="0.25">
      <c r="A60">
        <v>27636</v>
      </c>
      <c r="B60">
        <v>10.4245</v>
      </c>
      <c r="C60">
        <f t="shared" si="1"/>
        <v>59</v>
      </c>
      <c r="D60" s="1">
        <f t="shared" si="0"/>
        <v>47</v>
      </c>
      <c r="F60">
        <v>55472</v>
      </c>
      <c r="G60">
        <v>3.5697999999999999</v>
      </c>
      <c r="H60">
        <v>29</v>
      </c>
    </row>
    <row r="61" spans="1:8" ht="19" x14ac:dyDescent="0.25">
      <c r="A61">
        <v>42422</v>
      </c>
      <c r="B61">
        <v>6.5814000000000004</v>
      </c>
      <c r="C61">
        <f t="shared" si="1"/>
        <v>60</v>
      </c>
      <c r="D61" s="1">
        <f t="shared" si="0"/>
        <v>75</v>
      </c>
      <c r="F61">
        <v>52988</v>
      </c>
      <c r="G61">
        <v>9.3248999999999995</v>
      </c>
      <c r="H61">
        <v>28</v>
      </c>
    </row>
    <row r="62" spans="1:8" ht="19" x14ac:dyDescent="0.25">
      <c r="A62">
        <v>57400</v>
      </c>
      <c r="B62">
        <v>4.3818000000000001</v>
      </c>
      <c r="C62">
        <f t="shared" si="1"/>
        <v>61</v>
      </c>
      <c r="D62" s="1">
        <f t="shared" si="0"/>
        <v>120</v>
      </c>
      <c r="F62">
        <v>50758</v>
      </c>
      <c r="G62">
        <v>8.2279</v>
      </c>
      <c r="H62">
        <v>27</v>
      </c>
    </row>
    <row r="63" spans="1:8" ht="19" x14ac:dyDescent="0.25">
      <c r="A63">
        <v>57478</v>
      </c>
      <c r="B63">
        <v>10.437799999999999</v>
      </c>
      <c r="C63">
        <f t="shared" si="1"/>
        <v>62</v>
      </c>
      <c r="D63" s="1">
        <f t="shared" si="0"/>
        <v>34</v>
      </c>
      <c r="F63">
        <v>29160</v>
      </c>
      <c r="G63">
        <v>5.8316999999999997</v>
      </c>
      <c r="H63">
        <v>26</v>
      </c>
    </row>
    <row r="64" spans="1:8" ht="19" x14ac:dyDescent="0.25">
      <c r="A64">
        <v>28921</v>
      </c>
      <c r="B64">
        <v>9.4656000000000002</v>
      </c>
      <c r="C64">
        <f t="shared" si="1"/>
        <v>63</v>
      </c>
      <c r="D64" s="1">
        <f t="shared" si="0"/>
        <v>78</v>
      </c>
      <c r="F64">
        <v>39268</v>
      </c>
      <c r="G64">
        <v>10.4435</v>
      </c>
      <c r="H64">
        <v>25</v>
      </c>
    </row>
    <row r="65" spans="1:8" ht="19" x14ac:dyDescent="0.25">
      <c r="A65">
        <v>43869</v>
      </c>
      <c r="B65">
        <v>10.0562</v>
      </c>
      <c r="C65">
        <f t="shared" si="1"/>
        <v>64</v>
      </c>
      <c r="D65" s="1">
        <f t="shared" si="0"/>
        <v>3</v>
      </c>
      <c r="F65">
        <v>20221</v>
      </c>
      <c r="G65">
        <v>2.1920999999999999</v>
      </c>
      <c r="H65">
        <v>24</v>
      </c>
    </row>
    <row r="66" spans="1:8" ht="19" x14ac:dyDescent="0.25">
      <c r="A66">
        <v>58880</v>
      </c>
      <c r="B66">
        <v>2.2770999999999999</v>
      </c>
      <c r="C66">
        <f t="shared" si="1"/>
        <v>65</v>
      </c>
      <c r="D66" s="1">
        <f t="shared" si="0"/>
        <v>60</v>
      </c>
      <c r="F66">
        <v>64384</v>
      </c>
      <c r="G66">
        <v>9.4422999999999995</v>
      </c>
      <c r="H66">
        <v>23</v>
      </c>
    </row>
    <row r="67" spans="1:8" ht="19" x14ac:dyDescent="0.25">
      <c r="A67">
        <v>58866</v>
      </c>
      <c r="B67">
        <v>3.6139999999999999</v>
      </c>
      <c r="C67">
        <f t="shared" si="1"/>
        <v>66</v>
      </c>
      <c r="D67" s="1">
        <f t="shared" ref="D67:D103" si="2">INDEX($H$2:$H$103, MATCH($A67, $F$2:$F$103, 0))</f>
        <v>46</v>
      </c>
      <c r="F67">
        <v>46599</v>
      </c>
      <c r="G67">
        <v>8.4204000000000008</v>
      </c>
      <c r="H67">
        <v>21</v>
      </c>
    </row>
    <row r="68" spans="1:8" ht="19" x14ac:dyDescent="0.25">
      <c r="A68">
        <v>30385</v>
      </c>
      <c r="B68">
        <v>5.3723000000000001</v>
      </c>
      <c r="C68">
        <f t="shared" ref="C68:C103" si="3">C67+1</f>
        <v>67</v>
      </c>
      <c r="D68" s="1">
        <f t="shared" si="2"/>
        <v>5</v>
      </c>
      <c r="F68">
        <v>14881</v>
      </c>
      <c r="G68">
        <v>0.54359999999999997</v>
      </c>
      <c r="H68">
        <v>17</v>
      </c>
    </row>
    <row r="69" spans="1:8" ht="19" x14ac:dyDescent="0.25">
      <c r="A69">
        <v>45472</v>
      </c>
      <c r="B69">
        <v>8.5724</v>
      </c>
      <c r="C69">
        <f t="shared" si="3"/>
        <v>68</v>
      </c>
      <c r="D69" s="1">
        <f t="shared" si="2"/>
        <v>133</v>
      </c>
      <c r="F69">
        <v>51557</v>
      </c>
      <c r="G69">
        <v>2.9712000000000001</v>
      </c>
      <c r="H69">
        <v>148</v>
      </c>
    </row>
    <row r="70" spans="1:8" ht="19" x14ac:dyDescent="0.25">
      <c r="A70">
        <v>31885</v>
      </c>
      <c r="B70">
        <v>6.1017000000000001</v>
      </c>
      <c r="C70">
        <f t="shared" si="3"/>
        <v>69</v>
      </c>
      <c r="D70" s="1">
        <f t="shared" si="2"/>
        <v>66</v>
      </c>
      <c r="F70">
        <v>46114</v>
      </c>
      <c r="G70">
        <v>2.6812</v>
      </c>
      <c r="H70">
        <v>147</v>
      </c>
    </row>
    <row r="71" spans="1:8" ht="19" x14ac:dyDescent="0.25">
      <c r="A71">
        <v>31937</v>
      </c>
      <c r="B71">
        <v>4.9926000000000004</v>
      </c>
      <c r="C71">
        <f t="shared" si="3"/>
        <v>70</v>
      </c>
      <c r="D71" s="1">
        <f t="shared" si="2"/>
        <v>108</v>
      </c>
      <c r="F71">
        <v>40282</v>
      </c>
      <c r="G71">
        <v>5.8269000000000002</v>
      </c>
      <c r="H71">
        <v>146</v>
      </c>
    </row>
    <row r="72" spans="1:8" ht="19" x14ac:dyDescent="0.25">
      <c r="A72">
        <v>3570</v>
      </c>
      <c r="B72">
        <v>2.6048</v>
      </c>
      <c r="C72">
        <f t="shared" si="3"/>
        <v>71</v>
      </c>
      <c r="D72" s="1">
        <f t="shared" si="2"/>
        <v>68</v>
      </c>
      <c r="F72">
        <v>34063</v>
      </c>
      <c r="G72">
        <v>7.3182</v>
      </c>
      <c r="H72">
        <v>144</v>
      </c>
    </row>
    <row r="73" spans="1:8" ht="19" x14ac:dyDescent="0.25">
      <c r="A73">
        <v>46599</v>
      </c>
      <c r="B73">
        <v>8.4204000000000008</v>
      </c>
      <c r="C73">
        <f t="shared" si="3"/>
        <v>72</v>
      </c>
      <c r="D73" s="1">
        <f t="shared" si="2"/>
        <v>21</v>
      </c>
      <c r="F73">
        <v>56907</v>
      </c>
      <c r="G73">
        <v>7.6638999999999999</v>
      </c>
      <c r="H73">
        <v>143</v>
      </c>
    </row>
    <row r="74" spans="1:8" ht="19" x14ac:dyDescent="0.25">
      <c r="A74">
        <v>18533</v>
      </c>
      <c r="B74">
        <v>1.8869</v>
      </c>
      <c r="C74">
        <f t="shared" si="3"/>
        <v>73</v>
      </c>
      <c r="D74" s="1">
        <f t="shared" si="2"/>
        <v>35</v>
      </c>
      <c r="F74">
        <v>17726</v>
      </c>
      <c r="G74">
        <v>7.3402000000000003</v>
      </c>
      <c r="H74">
        <v>142</v>
      </c>
    </row>
    <row r="75" spans="1:8" ht="19" x14ac:dyDescent="0.25">
      <c r="A75">
        <v>61792</v>
      </c>
      <c r="B75">
        <v>2.7103999999999999</v>
      </c>
      <c r="C75">
        <f t="shared" si="3"/>
        <v>74</v>
      </c>
      <c r="D75" s="1">
        <f t="shared" si="2"/>
        <v>126</v>
      </c>
      <c r="F75">
        <v>15926</v>
      </c>
      <c r="G75">
        <v>2.7195</v>
      </c>
      <c r="H75">
        <v>140</v>
      </c>
    </row>
    <row r="76" spans="1:8" ht="19" x14ac:dyDescent="0.25">
      <c r="A76">
        <v>33437</v>
      </c>
      <c r="B76">
        <v>7.8941999999999997</v>
      </c>
      <c r="C76">
        <f t="shared" si="3"/>
        <v>75</v>
      </c>
      <c r="D76" s="1">
        <f t="shared" si="2"/>
        <v>63</v>
      </c>
      <c r="F76">
        <v>10422</v>
      </c>
      <c r="G76">
        <v>5.5303000000000004</v>
      </c>
      <c r="H76">
        <v>139</v>
      </c>
    </row>
    <row r="77" spans="1:8" ht="19" x14ac:dyDescent="0.25">
      <c r="A77">
        <v>5059</v>
      </c>
      <c r="B77">
        <v>5.5663999999999998</v>
      </c>
      <c r="C77">
        <f t="shared" si="3"/>
        <v>76</v>
      </c>
      <c r="D77" s="1">
        <f t="shared" si="2"/>
        <v>96</v>
      </c>
      <c r="F77">
        <v>31258</v>
      </c>
      <c r="G77">
        <v>10.694900000000001</v>
      </c>
      <c r="H77">
        <v>138</v>
      </c>
    </row>
    <row r="78" spans="1:8" ht="19" x14ac:dyDescent="0.25">
      <c r="A78">
        <v>48304</v>
      </c>
      <c r="B78">
        <v>2.6154000000000002</v>
      </c>
      <c r="C78">
        <f t="shared" si="3"/>
        <v>77</v>
      </c>
      <c r="D78" s="1">
        <f t="shared" si="2"/>
        <v>79</v>
      </c>
      <c r="F78">
        <v>43198</v>
      </c>
      <c r="G78">
        <v>2.3904999999999998</v>
      </c>
      <c r="H78">
        <v>137</v>
      </c>
    </row>
    <row r="79" spans="1:8" ht="19" x14ac:dyDescent="0.25">
      <c r="A79">
        <v>6493</v>
      </c>
      <c r="B79">
        <v>6.8436000000000003</v>
      </c>
      <c r="C79">
        <f t="shared" si="3"/>
        <v>78</v>
      </c>
      <c r="D79" s="1">
        <f t="shared" si="2"/>
        <v>92</v>
      </c>
      <c r="F79">
        <v>23606</v>
      </c>
      <c r="G79">
        <v>0</v>
      </c>
      <c r="H79">
        <v>136</v>
      </c>
    </row>
    <row r="80" spans="1:8" ht="19" x14ac:dyDescent="0.25">
      <c r="A80">
        <v>36333</v>
      </c>
      <c r="B80">
        <v>2.3567999999999998</v>
      </c>
      <c r="C80">
        <f t="shared" si="3"/>
        <v>79</v>
      </c>
      <c r="D80" s="1">
        <f t="shared" si="2"/>
        <v>55</v>
      </c>
      <c r="F80">
        <v>47518</v>
      </c>
      <c r="G80">
        <v>7.6147999999999998</v>
      </c>
      <c r="H80">
        <v>135</v>
      </c>
    </row>
    <row r="81" spans="1:8" ht="19" x14ac:dyDescent="0.25">
      <c r="A81">
        <v>51023</v>
      </c>
      <c r="B81">
        <v>9.6290999999999993</v>
      </c>
      <c r="C81">
        <f t="shared" si="3"/>
        <v>80</v>
      </c>
      <c r="D81" s="1">
        <f t="shared" si="2"/>
        <v>11</v>
      </c>
      <c r="F81">
        <v>45472</v>
      </c>
      <c r="G81">
        <v>8.5724</v>
      </c>
      <c r="H81">
        <v>133</v>
      </c>
    </row>
    <row r="82" spans="1:8" ht="19" x14ac:dyDescent="0.25">
      <c r="A82">
        <v>51171</v>
      </c>
      <c r="B82">
        <v>6.5960000000000001</v>
      </c>
      <c r="C82">
        <f t="shared" si="3"/>
        <v>81</v>
      </c>
      <c r="D82" s="1">
        <f t="shared" si="2"/>
        <v>44</v>
      </c>
      <c r="F82">
        <v>39391</v>
      </c>
      <c r="G82">
        <v>4.8349000000000002</v>
      </c>
      <c r="H82">
        <v>132</v>
      </c>
    </row>
    <row r="83" spans="1:8" ht="19" x14ac:dyDescent="0.25">
      <c r="A83">
        <v>52703</v>
      </c>
      <c r="B83">
        <v>3.2273999999999998</v>
      </c>
      <c r="C83">
        <f t="shared" si="3"/>
        <v>82</v>
      </c>
      <c r="D83" s="1">
        <f t="shared" si="2"/>
        <v>69</v>
      </c>
      <c r="F83">
        <v>25805</v>
      </c>
      <c r="G83">
        <v>4.6684999999999999</v>
      </c>
      <c r="H83">
        <v>131</v>
      </c>
    </row>
    <row r="84" spans="1:8" ht="19" x14ac:dyDescent="0.25">
      <c r="A84">
        <v>52533</v>
      </c>
      <c r="B84">
        <v>10.7217</v>
      </c>
      <c r="C84">
        <f t="shared" si="3"/>
        <v>83</v>
      </c>
      <c r="D84" s="1">
        <f t="shared" si="2"/>
        <v>94</v>
      </c>
      <c r="F84">
        <v>37299</v>
      </c>
      <c r="G84">
        <v>10.135300000000001</v>
      </c>
      <c r="H84">
        <v>127</v>
      </c>
    </row>
    <row r="85" spans="1:8" ht="19" x14ac:dyDescent="0.25">
      <c r="A85">
        <v>52554</v>
      </c>
      <c r="B85">
        <v>10.7193</v>
      </c>
      <c r="C85">
        <f t="shared" si="3"/>
        <v>84</v>
      </c>
      <c r="D85" s="1">
        <f t="shared" si="2"/>
        <v>119</v>
      </c>
      <c r="F85">
        <v>61792</v>
      </c>
      <c r="G85">
        <v>2.7103999999999999</v>
      </c>
      <c r="H85">
        <v>126</v>
      </c>
    </row>
    <row r="86" spans="1:8" ht="19" x14ac:dyDescent="0.25">
      <c r="A86">
        <v>39114</v>
      </c>
      <c r="B86">
        <v>5.3430999999999997</v>
      </c>
      <c r="C86">
        <f t="shared" si="3"/>
        <v>85</v>
      </c>
      <c r="D86" s="1">
        <f t="shared" si="2"/>
        <v>89</v>
      </c>
      <c r="F86">
        <v>46052</v>
      </c>
      <c r="G86">
        <v>9.4741999999999997</v>
      </c>
      <c r="H86">
        <v>125</v>
      </c>
    </row>
    <row r="87" spans="1:8" ht="19" x14ac:dyDescent="0.25">
      <c r="A87">
        <v>39268</v>
      </c>
      <c r="B87">
        <v>10.4435</v>
      </c>
      <c r="C87">
        <f t="shared" si="3"/>
        <v>86</v>
      </c>
      <c r="D87" s="1">
        <f t="shared" si="2"/>
        <v>25</v>
      </c>
      <c r="F87">
        <v>43575</v>
      </c>
      <c r="G87">
        <v>2.2559999999999998</v>
      </c>
      <c r="H87">
        <v>124</v>
      </c>
    </row>
    <row r="88" spans="1:8" ht="19" x14ac:dyDescent="0.25">
      <c r="A88">
        <v>53999</v>
      </c>
      <c r="B88">
        <v>7.1299000000000001</v>
      </c>
      <c r="C88">
        <f t="shared" si="3"/>
        <v>87</v>
      </c>
      <c r="D88" s="1">
        <f t="shared" si="2"/>
        <v>88</v>
      </c>
      <c r="F88">
        <v>51376</v>
      </c>
      <c r="G88">
        <v>7.4359000000000002</v>
      </c>
      <c r="H88">
        <v>123</v>
      </c>
    </row>
    <row r="89" spans="1:8" ht="19" x14ac:dyDescent="0.25">
      <c r="A89">
        <v>53930</v>
      </c>
      <c r="B89">
        <v>7.0507999999999997</v>
      </c>
      <c r="C89">
        <f t="shared" si="3"/>
        <v>88</v>
      </c>
      <c r="D89" s="1">
        <f t="shared" si="2"/>
        <v>118</v>
      </c>
      <c r="F89">
        <v>57400</v>
      </c>
      <c r="G89">
        <v>4.3818000000000001</v>
      </c>
      <c r="H89">
        <v>120</v>
      </c>
    </row>
    <row r="90" spans="1:8" ht="19" x14ac:dyDescent="0.25">
      <c r="A90">
        <v>25805</v>
      </c>
      <c r="B90">
        <v>4.6684999999999999</v>
      </c>
      <c r="C90">
        <f t="shared" si="3"/>
        <v>89</v>
      </c>
      <c r="D90" s="1">
        <f t="shared" si="2"/>
        <v>131</v>
      </c>
      <c r="F90">
        <v>52554</v>
      </c>
      <c r="G90">
        <v>10.7193</v>
      </c>
      <c r="H90">
        <v>119</v>
      </c>
    </row>
    <row r="91" spans="1:8" ht="19" x14ac:dyDescent="0.25">
      <c r="A91">
        <v>12250</v>
      </c>
      <c r="B91">
        <v>2.3915999999999999</v>
      </c>
      <c r="C91">
        <f t="shared" si="3"/>
        <v>90</v>
      </c>
      <c r="D91" s="1">
        <f t="shared" si="2"/>
        <v>101</v>
      </c>
      <c r="F91">
        <v>53930</v>
      </c>
      <c r="G91">
        <v>7.0507999999999997</v>
      </c>
      <c r="H91">
        <v>118</v>
      </c>
    </row>
    <row r="92" spans="1:8" ht="19" x14ac:dyDescent="0.25">
      <c r="A92">
        <v>55472</v>
      </c>
      <c r="B92">
        <v>3.5697999999999999</v>
      </c>
      <c r="C92">
        <f t="shared" si="3"/>
        <v>91</v>
      </c>
      <c r="D92" s="1">
        <f t="shared" si="2"/>
        <v>29</v>
      </c>
      <c r="F92">
        <v>56280</v>
      </c>
      <c r="G92">
        <v>7.9855999999999998</v>
      </c>
      <c r="H92">
        <v>117</v>
      </c>
    </row>
    <row r="93" spans="1:8" ht="19" x14ac:dyDescent="0.25">
      <c r="A93">
        <v>56907</v>
      </c>
      <c r="B93">
        <v>7.6638999999999999</v>
      </c>
      <c r="C93">
        <f t="shared" si="3"/>
        <v>92</v>
      </c>
      <c r="D93" s="1">
        <f t="shared" si="2"/>
        <v>143</v>
      </c>
      <c r="F93">
        <v>38251</v>
      </c>
      <c r="G93">
        <v>9.8924000000000003</v>
      </c>
      <c r="H93">
        <v>115</v>
      </c>
    </row>
    <row r="94" spans="1:8" ht="19" x14ac:dyDescent="0.25">
      <c r="A94">
        <v>28661</v>
      </c>
      <c r="B94">
        <v>8.9330999999999996</v>
      </c>
      <c r="C94">
        <f t="shared" si="3"/>
        <v>93</v>
      </c>
      <c r="D94" s="1">
        <f t="shared" si="2"/>
        <v>53</v>
      </c>
      <c r="F94">
        <v>23544</v>
      </c>
      <c r="G94">
        <v>7.4111000000000002</v>
      </c>
      <c r="H94">
        <v>114</v>
      </c>
    </row>
    <row r="95" spans="1:8" ht="19" x14ac:dyDescent="0.25">
      <c r="A95">
        <v>43575</v>
      </c>
      <c r="B95">
        <v>2.2559999999999998</v>
      </c>
      <c r="C95">
        <f t="shared" si="3"/>
        <v>94</v>
      </c>
      <c r="D95" s="1">
        <f t="shared" si="2"/>
        <v>124</v>
      </c>
      <c r="F95">
        <v>31140</v>
      </c>
      <c r="G95">
        <v>8.3323999999999998</v>
      </c>
      <c r="H95">
        <v>112</v>
      </c>
    </row>
    <row r="96" spans="1:8" ht="19" x14ac:dyDescent="0.25">
      <c r="A96">
        <v>15165</v>
      </c>
      <c r="B96">
        <v>4.9161999999999999</v>
      </c>
      <c r="C96">
        <f t="shared" si="3"/>
        <v>95</v>
      </c>
      <c r="D96" s="1">
        <f t="shared" si="2"/>
        <v>7</v>
      </c>
      <c r="F96">
        <v>8659</v>
      </c>
      <c r="G96">
        <v>1.3360000000000001</v>
      </c>
      <c r="H96">
        <v>111</v>
      </c>
    </row>
    <row r="97" spans="1:8" ht="19" x14ac:dyDescent="0.25">
      <c r="A97">
        <v>30182</v>
      </c>
      <c r="B97">
        <v>1.6487000000000001</v>
      </c>
      <c r="C97">
        <f t="shared" si="3"/>
        <v>96</v>
      </c>
      <c r="D97" s="1">
        <f t="shared" si="2"/>
        <v>64</v>
      </c>
      <c r="F97">
        <v>54923</v>
      </c>
      <c r="G97">
        <v>8.6943000000000001</v>
      </c>
      <c r="H97">
        <v>110</v>
      </c>
    </row>
    <row r="98" spans="1:8" ht="19" x14ac:dyDescent="0.25">
      <c r="A98">
        <v>44839</v>
      </c>
      <c r="B98">
        <v>6.6886000000000001</v>
      </c>
      <c r="C98">
        <f t="shared" si="3"/>
        <v>97</v>
      </c>
      <c r="D98" s="1">
        <f t="shared" si="2"/>
        <v>87</v>
      </c>
      <c r="F98">
        <v>51023</v>
      </c>
      <c r="G98">
        <v>9.6290999999999993</v>
      </c>
      <c r="H98">
        <v>11</v>
      </c>
    </row>
    <row r="99" spans="1:8" ht="19" x14ac:dyDescent="0.25">
      <c r="A99">
        <v>16589</v>
      </c>
      <c r="B99">
        <v>9.8313000000000006</v>
      </c>
      <c r="C99">
        <f t="shared" si="3"/>
        <v>98</v>
      </c>
      <c r="D99" s="1">
        <f t="shared" si="2"/>
        <v>8</v>
      </c>
      <c r="F99">
        <v>48732</v>
      </c>
      <c r="G99">
        <v>8.5573999999999995</v>
      </c>
      <c r="H99">
        <v>109</v>
      </c>
    </row>
    <row r="100" spans="1:8" ht="19" x14ac:dyDescent="0.25">
      <c r="A100">
        <v>31561</v>
      </c>
      <c r="B100">
        <v>5.2085999999999997</v>
      </c>
      <c r="C100">
        <f t="shared" si="3"/>
        <v>99</v>
      </c>
      <c r="D100" s="1">
        <f t="shared" si="2"/>
        <v>48</v>
      </c>
      <c r="F100">
        <v>31937</v>
      </c>
      <c r="G100">
        <v>4.9926000000000004</v>
      </c>
      <c r="H100">
        <v>108</v>
      </c>
    </row>
    <row r="101" spans="1:8" ht="19" x14ac:dyDescent="0.25">
      <c r="A101">
        <v>31595</v>
      </c>
      <c r="B101">
        <v>10.2942</v>
      </c>
      <c r="C101">
        <f t="shared" si="3"/>
        <v>100</v>
      </c>
      <c r="D101" s="1">
        <f t="shared" si="2"/>
        <v>67</v>
      </c>
      <c r="F101">
        <v>21807</v>
      </c>
      <c r="G101">
        <v>4.0053000000000001</v>
      </c>
      <c r="H101">
        <v>103</v>
      </c>
    </row>
    <row r="102" spans="1:8" ht="19" x14ac:dyDescent="0.25">
      <c r="A102">
        <v>48026</v>
      </c>
      <c r="B102">
        <v>6.1009000000000002</v>
      </c>
      <c r="C102">
        <f t="shared" si="3"/>
        <v>101</v>
      </c>
      <c r="D102" s="1">
        <f t="shared" si="2"/>
        <v>97</v>
      </c>
      <c r="F102">
        <v>12250</v>
      </c>
      <c r="G102">
        <v>2.3915999999999999</v>
      </c>
      <c r="H102">
        <v>101</v>
      </c>
    </row>
    <row r="103" spans="1:8" ht="19" x14ac:dyDescent="0.25">
      <c r="A103">
        <v>34397</v>
      </c>
      <c r="B103">
        <v>9.1486000000000001</v>
      </c>
      <c r="C103">
        <f t="shared" si="3"/>
        <v>102</v>
      </c>
      <c r="D103" s="1">
        <f t="shared" si="2"/>
        <v>80</v>
      </c>
      <c r="F103">
        <v>2867</v>
      </c>
      <c r="G103">
        <v>7.5297999999999998</v>
      </c>
      <c r="H103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3"/>
  <sheetViews>
    <sheetView tabSelected="1" workbookViewId="0">
      <selection activeCell="A2" sqref="A2:A103"/>
    </sheetView>
  </sheetViews>
  <sheetFormatPr baseColWidth="10" defaultRowHeight="16" x14ac:dyDescent="0.2"/>
  <cols>
    <col min="2" max="2" width="13.6640625" customWidth="1"/>
  </cols>
  <sheetData>
    <row r="1" spans="1:2" x14ac:dyDescent="0.2">
      <c r="A1" t="s">
        <v>4</v>
      </c>
      <c r="B1" t="s">
        <v>0</v>
      </c>
    </row>
    <row r="2" spans="1:2" ht="19" x14ac:dyDescent="0.25">
      <c r="A2" s="1" t="s">
        <v>5</v>
      </c>
      <c r="B2">
        <v>10.0562</v>
      </c>
    </row>
    <row r="3" spans="1:2" ht="19" x14ac:dyDescent="0.25">
      <c r="A3" s="1">
        <v>5</v>
      </c>
      <c r="B3">
        <v>5.3723000000000001</v>
      </c>
    </row>
    <row r="4" spans="1:2" ht="19" x14ac:dyDescent="0.25">
      <c r="A4" s="1">
        <v>7</v>
      </c>
      <c r="B4">
        <v>4.9161999999999999</v>
      </c>
    </row>
    <row r="5" spans="1:2" ht="19" x14ac:dyDescent="0.25">
      <c r="A5" s="1">
        <v>8</v>
      </c>
      <c r="B5">
        <v>9.8313000000000006</v>
      </c>
    </row>
    <row r="6" spans="1:2" ht="19" x14ac:dyDescent="0.25">
      <c r="A6" s="1">
        <v>9</v>
      </c>
      <c r="B6">
        <v>1.1498999999999999</v>
      </c>
    </row>
    <row r="7" spans="1:2" ht="19" x14ac:dyDescent="0.25">
      <c r="A7" s="1">
        <v>10</v>
      </c>
      <c r="B7">
        <v>7.5297999999999998</v>
      </c>
    </row>
    <row r="8" spans="1:2" ht="19" x14ac:dyDescent="0.25">
      <c r="A8" s="1">
        <v>11</v>
      </c>
      <c r="B8">
        <v>9.6290999999999993</v>
      </c>
    </row>
    <row r="9" spans="1:2" ht="19" x14ac:dyDescent="0.25">
      <c r="A9" s="1">
        <v>17</v>
      </c>
      <c r="B9">
        <v>0.54359999999999997</v>
      </c>
    </row>
    <row r="10" spans="1:2" ht="19" x14ac:dyDescent="0.25">
      <c r="A10" s="1">
        <v>21</v>
      </c>
      <c r="B10">
        <v>8.4204000000000008</v>
      </c>
    </row>
    <row r="11" spans="1:2" ht="19" x14ac:dyDescent="0.25">
      <c r="A11" s="1">
        <v>23</v>
      </c>
      <c r="B11">
        <v>9.4422999999999995</v>
      </c>
    </row>
    <row r="12" spans="1:2" ht="19" x14ac:dyDescent="0.25">
      <c r="A12" s="1">
        <v>24</v>
      </c>
      <c r="B12">
        <v>2.1920999999999999</v>
      </c>
    </row>
    <row r="13" spans="1:2" ht="19" x14ac:dyDescent="0.25">
      <c r="A13" s="1">
        <v>25</v>
      </c>
      <c r="B13">
        <v>10.4435</v>
      </c>
    </row>
    <row r="14" spans="1:2" ht="19" x14ac:dyDescent="0.25">
      <c r="A14" s="1">
        <v>26</v>
      </c>
      <c r="B14">
        <v>5.8316999999999997</v>
      </c>
    </row>
    <row r="15" spans="1:2" ht="19" x14ac:dyDescent="0.25">
      <c r="A15" s="1">
        <v>27</v>
      </c>
      <c r="B15">
        <v>8.2279</v>
      </c>
    </row>
    <row r="16" spans="1:2" ht="19" x14ac:dyDescent="0.25">
      <c r="A16" s="1">
        <v>28</v>
      </c>
      <c r="B16">
        <v>9.3248999999999995</v>
      </c>
    </row>
    <row r="17" spans="1:2" ht="19" x14ac:dyDescent="0.25">
      <c r="A17" s="1">
        <v>29</v>
      </c>
      <c r="B17">
        <v>3.5697999999999999</v>
      </c>
    </row>
    <row r="18" spans="1:2" ht="19" x14ac:dyDescent="0.25">
      <c r="A18" s="1">
        <v>30</v>
      </c>
      <c r="B18">
        <v>9.8322000000000003</v>
      </c>
    </row>
    <row r="19" spans="1:2" ht="19" x14ac:dyDescent="0.25">
      <c r="A19" s="1">
        <v>31</v>
      </c>
      <c r="B19">
        <v>8.7795000000000005</v>
      </c>
    </row>
    <row r="20" spans="1:2" ht="19" x14ac:dyDescent="0.25">
      <c r="A20" s="1">
        <v>32</v>
      </c>
      <c r="B20">
        <v>7.4981</v>
      </c>
    </row>
    <row r="21" spans="1:2" ht="19" x14ac:dyDescent="0.25">
      <c r="A21" s="1">
        <v>33</v>
      </c>
      <c r="B21">
        <v>3.2212000000000001</v>
      </c>
    </row>
    <row r="22" spans="1:2" ht="19" x14ac:dyDescent="0.25">
      <c r="A22" s="1">
        <v>34</v>
      </c>
      <c r="B22">
        <v>10.437799999999999</v>
      </c>
    </row>
    <row r="23" spans="1:2" ht="19" x14ac:dyDescent="0.25">
      <c r="A23" s="1">
        <v>35</v>
      </c>
      <c r="B23">
        <v>1.8869</v>
      </c>
    </row>
    <row r="24" spans="1:2" ht="19" x14ac:dyDescent="0.25">
      <c r="A24" s="1">
        <v>37</v>
      </c>
      <c r="B24">
        <v>9.4311000000000007</v>
      </c>
    </row>
    <row r="25" spans="1:2" ht="19" x14ac:dyDescent="0.25">
      <c r="A25" s="1">
        <v>39</v>
      </c>
      <c r="B25">
        <v>2.3462000000000001</v>
      </c>
    </row>
    <row r="26" spans="1:2" ht="19" x14ac:dyDescent="0.25">
      <c r="A26" s="1">
        <v>41</v>
      </c>
      <c r="B26">
        <v>7.4057000000000004</v>
      </c>
    </row>
    <row r="27" spans="1:2" ht="19" x14ac:dyDescent="0.25">
      <c r="A27" s="1">
        <v>42</v>
      </c>
      <c r="B27">
        <v>1.8205</v>
      </c>
    </row>
    <row r="28" spans="1:2" ht="19" x14ac:dyDescent="0.25">
      <c r="A28" s="1">
        <v>43</v>
      </c>
      <c r="B28">
        <v>5.9269999999999996</v>
      </c>
    </row>
    <row r="29" spans="1:2" ht="19" x14ac:dyDescent="0.25">
      <c r="A29" s="1">
        <v>44</v>
      </c>
      <c r="B29">
        <v>6.5960000000000001</v>
      </c>
    </row>
    <row r="30" spans="1:2" ht="19" x14ac:dyDescent="0.25">
      <c r="A30" s="1">
        <v>46</v>
      </c>
      <c r="B30">
        <v>3.6139999999999999</v>
      </c>
    </row>
    <row r="31" spans="1:2" ht="19" x14ac:dyDescent="0.25">
      <c r="A31" s="1">
        <v>47</v>
      </c>
      <c r="B31">
        <v>10.4245</v>
      </c>
    </row>
    <row r="32" spans="1:2" ht="19" x14ac:dyDescent="0.25">
      <c r="A32" s="1">
        <v>48</v>
      </c>
      <c r="B32">
        <v>5.2085999999999997</v>
      </c>
    </row>
    <row r="33" spans="1:2" ht="19" x14ac:dyDescent="0.25">
      <c r="A33" s="1">
        <v>50</v>
      </c>
      <c r="B33">
        <v>6.2683999999999997</v>
      </c>
    </row>
    <row r="34" spans="1:2" ht="19" x14ac:dyDescent="0.25">
      <c r="A34" s="1">
        <v>51</v>
      </c>
      <c r="B34">
        <v>7.1417999999999999</v>
      </c>
    </row>
    <row r="35" spans="1:2" ht="19" x14ac:dyDescent="0.25">
      <c r="A35" s="1">
        <v>53</v>
      </c>
      <c r="B35">
        <v>8.9330999999999996</v>
      </c>
    </row>
    <row r="36" spans="1:2" ht="19" x14ac:dyDescent="0.25">
      <c r="A36" s="1">
        <v>55</v>
      </c>
      <c r="B36">
        <v>2.3567999999999998</v>
      </c>
    </row>
    <row r="37" spans="1:2" ht="19" x14ac:dyDescent="0.25">
      <c r="A37" s="1">
        <v>56</v>
      </c>
      <c r="B37">
        <v>4.2568000000000001</v>
      </c>
    </row>
    <row r="38" spans="1:2" ht="19" x14ac:dyDescent="0.25">
      <c r="A38" s="1">
        <v>58</v>
      </c>
      <c r="B38">
        <v>5.7565999999999997</v>
      </c>
    </row>
    <row r="39" spans="1:2" ht="19" x14ac:dyDescent="0.25">
      <c r="A39" s="1">
        <v>59</v>
      </c>
      <c r="B39">
        <v>3.9735999999999998</v>
      </c>
    </row>
    <row r="40" spans="1:2" ht="19" x14ac:dyDescent="0.25">
      <c r="A40" s="1">
        <v>60</v>
      </c>
      <c r="B40">
        <v>2.2770999999999999</v>
      </c>
    </row>
    <row r="41" spans="1:2" ht="19" x14ac:dyDescent="0.25">
      <c r="A41" s="1">
        <v>61</v>
      </c>
      <c r="B41">
        <v>10.552</v>
      </c>
    </row>
    <row r="42" spans="1:2" ht="19" x14ac:dyDescent="0.25">
      <c r="A42" s="1">
        <v>63</v>
      </c>
      <c r="B42">
        <v>7.8941999999999997</v>
      </c>
    </row>
    <row r="43" spans="1:2" ht="19" x14ac:dyDescent="0.25">
      <c r="A43" s="1">
        <v>64</v>
      </c>
      <c r="B43">
        <v>1.6487000000000001</v>
      </c>
    </row>
    <row r="44" spans="1:2" ht="19" x14ac:dyDescent="0.25">
      <c r="A44" s="1">
        <v>65</v>
      </c>
      <c r="B44">
        <v>9.9319000000000006</v>
      </c>
    </row>
    <row r="45" spans="1:2" ht="19" x14ac:dyDescent="0.25">
      <c r="A45" s="1">
        <v>66</v>
      </c>
      <c r="B45">
        <v>6.1017000000000001</v>
      </c>
    </row>
    <row r="46" spans="1:2" ht="19" x14ac:dyDescent="0.25">
      <c r="A46" s="1">
        <v>67</v>
      </c>
      <c r="B46">
        <v>10.2942</v>
      </c>
    </row>
    <row r="47" spans="1:2" ht="19" x14ac:dyDescent="0.25">
      <c r="A47" s="1">
        <v>68</v>
      </c>
      <c r="B47">
        <v>2.6048</v>
      </c>
    </row>
    <row r="48" spans="1:2" ht="19" x14ac:dyDescent="0.25">
      <c r="A48" s="1">
        <v>69</v>
      </c>
      <c r="B48">
        <v>3.2273999999999998</v>
      </c>
    </row>
    <row r="49" spans="1:2" ht="19" x14ac:dyDescent="0.25">
      <c r="A49" s="1">
        <v>71</v>
      </c>
      <c r="B49">
        <v>1.08</v>
      </c>
    </row>
    <row r="50" spans="1:2" ht="19" x14ac:dyDescent="0.25">
      <c r="A50" s="1">
        <v>72</v>
      </c>
      <c r="B50">
        <v>10.855399999999999</v>
      </c>
    </row>
    <row r="51" spans="1:2" ht="19" x14ac:dyDescent="0.25">
      <c r="A51" s="1">
        <v>75</v>
      </c>
      <c r="B51">
        <v>6.5814000000000004</v>
      </c>
    </row>
    <row r="52" spans="1:2" ht="19" x14ac:dyDescent="0.25">
      <c r="A52" s="1">
        <v>76</v>
      </c>
      <c r="B52">
        <v>4.5963000000000003</v>
      </c>
    </row>
    <row r="53" spans="1:2" ht="19" x14ac:dyDescent="0.25">
      <c r="A53" s="1">
        <v>77</v>
      </c>
      <c r="B53">
        <v>8.2683999999999997</v>
      </c>
    </row>
    <row r="54" spans="1:2" ht="19" x14ac:dyDescent="0.25">
      <c r="A54" s="1">
        <v>78</v>
      </c>
      <c r="B54">
        <v>9.4656000000000002</v>
      </c>
    </row>
    <row r="55" spans="1:2" ht="19" x14ac:dyDescent="0.25">
      <c r="A55" s="1">
        <v>79</v>
      </c>
      <c r="B55">
        <v>2.6154000000000002</v>
      </c>
    </row>
    <row r="56" spans="1:2" ht="19" x14ac:dyDescent="0.25">
      <c r="A56" s="1">
        <v>80</v>
      </c>
      <c r="B56">
        <v>9.1486000000000001</v>
      </c>
    </row>
    <row r="57" spans="1:2" ht="19" x14ac:dyDescent="0.25">
      <c r="A57" s="1">
        <v>81</v>
      </c>
      <c r="B57">
        <v>0.31840000000000002</v>
      </c>
    </row>
    <row r="58" spans="1:2" ht="19" x14ac:dyDescent="0.25">
      <c r="A58" s="1">
        <v>82</v>
      </c>
      <c r="B58">
        <v>2.3138000000000001</v>
      </c>
    </row>
    <row r="59" spans="1:2" ht="19" x14ac:dyDescent="0.25">
      <c r="A59" s="1">
        <v>85</v>
      </c>
      <c r="B59">
        <v>4.5315000000000003</v>
      </c>
    </row>
    <row r="60" spans="1:2" ht="19" x14ac:dyDescent="0.25">
      <c r="A60" s="1">
        <v>86</v>
      </c>
      <c r="B60">
        <v>6.5864000000000003</v>
      </c>
    </row>
    <row r="61" spans="1:2" ht="19" x14ac:dyDescent="0.25">
      <c r="A61" s="1">
        <v>87</v>
      </c>
      <c r="B61">
        <v>6.6886000000000001</v>
      </c>
    </row>
    <row r="62" spans="1:2" ht="19" x14ac:dyDescent="0.25">
      <c r="A62" s="1">
        <v>88</v>
      </c>
      <c r="B62">
        <v>7.1299000000000001</v>
      </c>
    </row>
    <row r="63" spans="1:2" ht="19" x14ac:dyDescent="0.25">
      <c r="A63" s="1">
        <v>89</v>
      </c>
      <c r="B63">
        <v>5.3430999999999997</v>
      </c>
    </row>
    <row r="64" spans="1:2" ht="19" x14ac:dyDescent="0.25">
      <c r="A64" s="1">
        <v>91</v>
      </c>
      <c r="B64">
        <v>6.3550000000000004</v>
      </c>
    </row>
    <row r="65" spans="1:2" ht="19" x14ac:dyDescent="0.25">
      <c r="A65" s="1">
        <v>92</v>
      </c>
      <c r="B65">
        <v>6.8436000000000003</v>
      </c>
    </row>
    <row r="66" spans="1:2" ht="19" x14ac:dyDescent="0.25">
      <c r="A66" s="1">
        <v>94</v>
      </c>
      <c r="B66">
        <v>10.7217</v>
      </c>
    </row>
    <row r="67" spans="1:2" ht="19" x14ac:dyDescent="0.25">
      <c r="A67" s="1">
        <v>96</v>
      </c>
      <c r="B67">
        <v>5.5663999999999998</v>
      </c>
    </row>
    <row r="68" spans="1:2" ht="19" x14ac:dyDescent="0.25">
      <c r="A68" s="1">
        <v>97</v>
      </c>
      <c r="B68">
        <v>6.1009000000000002</v>
      </c>
    </row>
    <row r="69" spans="1:2" ht="19" x14ac:dyDescent="0.25">
      <c r="A69" s="1">
        <v>98</v>
      </c>
      <c r="B69">
        <v>7.9969000000000001</v>
      </c>
    </row>
    <row r="70" spans="1:2" ht="19" x14ac:dyDescent="0.25">
      <c r="A70" s="1">
        <v>99</v>
      </c>
      <c r="B70">
        <v>5.1006</v>
      </c>
    </row>
    <row r="71" spans="1:2" ht="19" x14ac:dyDescent="0.25">
      <c r="A71" s="1">
        <v>101</v>
      </c>
      <c r="B71">
        <v>2.3915999999999999</v>
      </c>
    </row>
    <row r="72" spans="1:2" ht="19" x14ac:dyDescent="0.25">
      <c r="A72" s="1">
        <v>103</v>
      </c>
      <c r="B72">
        <v>4.0053000000000001</v>
      </c>
    </row>
    <row r="73" spans="1:2" ht="19" x14ac:dyDescent="0.25">
      <c r="A73" s="1">
        <v>108</v>
      </c>
      <c r="B73">
        <v>4.9926000000000004</v>
      </c>
    </row>
    <row r="74" spans="1:2" ht="19" x14ac:dyDescent="0.25">
      <c r="A74" s="1">
        <v>109</v>
      </c>
      <c r="B74">
        <v>8.5573999999999995</v>
      </c>
    </row>
    <row r="75" spans="1:2" ht="19" x14ac:dyDescent="0.25">
      <c r="A75" s="1">
        <v>110</v>
      </c>
      <c r="B75">
        <v>8.6943000000000001</v>
      </c>
    </row>
    <row r="76" spans="1:2" ht="19" x14ac:dyDescent="0.25">
      <c r="A76" s="1">
        <v>111</v>
      </c>
      <c r="B76">
        <v>1.3360000000000001</v>
      </c>
    </row>
    <row r="77" spans="1:2" ht="19" x14ac:dyDescent="0.25">
      <c r="A77" s="1">
        <v>112</v>
      </c>
      <c r="B77">
        <v>8.3323999999999998</v>
      </c>
    </row>
    <row r="78" spans="1:2" ht="19" x14ac:dyDescent="0.25">
      <c r="A78" s="1">
        <v>114</v>
      </c>
      <c r="B78">
        <v>7.4111000000000002</v>
      </c>
    </row>
    <row r="79" spans="1:2" ht="19" x14ac:dyDescent="0.25">
      <c r="A79" s="1">
        <v>115</v>
      </c>
      <c r="B79">
        <v>9.8924000000000003</v>
      </c>
    </row>
    <row r="80" spans="1:2" ht="19" x14ac:dyDescent="0.25">
      <c r="A80" s="1">
        <v>117</v>
      </c>
      <c r="B80">
        <v>7.9855999999999998</v>
      </c>
    </row>
    <row r="81" spans="1:2" ht="19" x14ac:dyDescent="0.25">
      <c r="A81" s="1">
        <v>118</v>
      </c>
      <c r="B81">
        <v>7.0507999999999997</v>
      </c>
    </row>
    <row r="82" spans="1:2" ht="19" x14ac:dyDescent="0.25">
      <c r="A82" s="1">
        <v>119</v>
      </c>
      <c r="B82">
        <v>10.7193</v>
      </c>
    </row>
    <row r="83" spans="1:2" ht="19" x14ac:dyDescent="0.25">
      <c r="A83" s="1">
        <v>120</v>
      </c>
      <c r="B83">
        <v>4.3818000000000001</v>
      </c>
    </row>
    <row r="84" spans="1:2" ht="19" x14ac:dyDescent="0.25">
      <c r="A84" s="1">
        <v>123</v>
      </c>
      <c r="B84">
        <v>7.4359000000000002</v>
      </c>
    </row>
    <row r="85" spans="1:2" ht="19" x14ac:dyDescent="0.25">
      <c r="A85" s="1">
        <v>124</v>
      </c>
      <c r="B85">
        <v>2.2559999999999998</v>
      </c>
    </row>
    <row r="86" spans="1:2" ht="19" x14ac:dyDescent="0.25">
      <c r="A86" s="1">
        <v>125</v>
      </c>
      <c r="B86">
        <v>9.4741999999999997</v>
      </c>
    </row>
    <row r="87" spans="1:2" ht="19" x14ac:dyDescent="0.25">
      <c r="A87" s="1">
        <v>126</v>
      </c>
      <c r="B87">
        <v>2.7103999999999999</v>
      </c>
    </row>
    <row r="88" spans="1:2" ht="19" x14ac:dyDescent="0.25">
      <c r="A88" s="1">
        <v>127</v>
      </c>
      <c r="B88">
        <v>10.135300000000001</v>
      </c>
    </row>
    <row r="89" spans="1:2" ht="19" x14ac:dyDescent="0.25">
      <c r="A89" s="1">
        <v>131</v>
      </c>
      <c r="B89">
        <v>4.6684999999999999</v>
      </c>
    </row>
    <row r="90" spans="1:2" ht="19" x14ac:dyDescent="0.25">
      <c r="A90" s="1">
        <v>132</v>
      </c>
      <c r="B90">
        <v>4.8349000000000002</v>
      </c>
    </row>
    <row r="91" spans="1:2" ht="19" x14ac:dyDescent="0.25">
      <c r="A91" s="1">
        <v>133</v>
      </c>
      <c r="B91">
        <v>8.5724</v>
      </c>
    </row>
    <row r="92" spans="1:2" ht="19" x14ac:dyDescent="0.25">
      <c r="A92" s="1">
        <v>135</v>
      </c>
      <c r="B92">
        <v>7.6147999999999998</v>
      </c>
    </row>
    <row r="93" spans="1:2" ht="19" x14ac:dyDescent="0.25">
      <c r="A93" s="1">
        <v>136</v>
      </c>
      <c r="B93">
        <v>0</v>
      </c>
    </row>
    <row r="94" spans="1:2" ht="19" x14ac:dyDescent="0.25">
      <c r="A94" s="1">
        <v>137</v>
      </c>
      <c r="B94">
        <v>2.3904999999999998</v>
      </c>
    </row>
    <row r="95" spans="1:2" ht="19" x14ac:dyDescent="0.25">
      <c r="A95" s="1">
        <v>138</v>
      </c>
      <c r="B95">
        <v>10.694900000000001</v>
      </c>
    </row>
    <row r="96" spans="1:2" ht="19" x14ac:dyDescent="0.25">
      <c r="A96" s="1">
        <v>139</v>
      </c>
      <c r="B96">
        <v>5.5303000000000004</v>
      </c>
    </row>
    <row r="97" spans="1:2" ht="19" x14ac:dyDescent="0.25">
      <c r="A97" s="1">
        <v>140</v>
      </c>
      <c r="B97">
        <v>2.7195</v>
      </c>
    </row>
    <row r="98" spans="1:2" ht="19" x14ac:dyDescent="0.25">
      <c r="A98" s="1">
        <v>142</v>
      </c>
      <c r="B98">
        <v>7.3402000000000003</v>
      </c>
    </row>
    <row r="99" spans="1:2" ht="19" x14ac:dyDescent="0.25">
      <c r="A99" s="1">
        <v>143</v>
      </c>
      <c r="B99">
        <v>7.6638999999999999</v>
      </c>
    </row>
    <row r="100" spans="1:2" ht="19" x14ac:dyDescent="0.25">
      <c r="A100" s="1">
        <v>144</v>
      </c>
      <c r="B100">
        <v>7.3182</v>
      </c>
    </row>
    <row r="101" spans="1:2" ht="19" x14ac:dyDescent="0.25">
      <c r="A101" s="1">
        <v>146</v>
      </c>
      <c r="B101">
        <v>5.8269000000000002</v>
      </c>
    </row>
    <row r="102" spans="1:2" ht="19" x14ac:dyDescent="0.25">
      <c r="A102" s="1">
        <v>147</v>
      </c>
      <c r="B102">
        <v>2.6812</v>
      </c>
    </row>
    <row r="103" spans="1:2" ht="19" x14ac:dyDescent="0.25">
      <c r="A103" s="1">
        <v>148</v>
      </c>
      <c r="B103">
        <v>2.9712000000000001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RioDoce_Hectares</vt:lpstr>
      <vt:lpstr>Rio_Doce_Hect_ID_clean_ordered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Bruce  Bell</dc:creator>
  <cp:lastModifiedBy>James Bruce  Bell</cp:lastModifiedBy>
  <dcterms:created xsi:type="dcterms:W3CDTF">2022-09-29T14:25:16Z</dcterms:created>
  <dcterms:modified xsi:type="dcterms:W3CDTF">2022-09-30T13:34:21Z</dcterms:modified>
</cp:coreProperties>
</file>