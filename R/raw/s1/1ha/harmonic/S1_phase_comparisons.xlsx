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raw/s1/1ha/harmonic/"/>
    </mc:Choice>
  </mc:AlternateContent>
  <xr:revisionPtr revIDLastSave="0" documentId="13_ncr:40009_{97387CD4-0162-074F-AB4A-E66A99F48103}" xr6:coauthVersionLast="47" xr6:coauthVersionMax="47" xr10:uidLastSave="{00000000-0000-0000-0000-000000000000}"/>
  <bookViews>
    <workbookView xWindow="5020" yWindow="500" windowWidth="17740" windowHeight="8260" activeTab="2"/>
  </bookViews>
  <sheets>
    <sheet name="rio_doce_S1_RVI_seasonality_pro" sheetId="2" r:id="rId1"/>
    <sheet name="sooretama_S1_RVI_seasonality_pr" sheetId="3" r:id="rId2"/>
    <sheet name="diffs" sheetId="4" r:id="rId3"/>
  </sheets>
  <calcPr calcId="0"/>
</workbook>
</file>

<file path=xl/calcChain.xml><?xml version="1.0" encoding="utf-8"?>
<calcChain xmlns="http://schemas.openxmlformats.org/spreadsheetml/2006/main">
  <c r="C2" i="4" l="1"/>
  <c r="T7" i="3" l="1"/>
  <c r="R7" i="3" s="1"/>
  <c r="V7" i="3"/>
  <c r="U7" i="3" s="1"/>
  <c r="X7" i="3"/>
  <c r="W7" i="3" s="1"/>
  <c r="T8" i="3"/>
  <c r="V8" i="3"/>
  <c r="X8" i="3"/>
  <c r="T7" i="2"/>
  <c r="R7" i="2" s="1"/>
  <c r="V7" i="2"/>
  <c r="U7" i="2" s="1"/>
  <c r="X7" i="2"/>
  <c r="W7" i="2" s="1"/>
  <c r="T8" i="2"/>
  <c r="V8" i="2"/>
  <c r="E3" i="4" s="1"/>
  <c r="X8" i="2"/>
  <c r="G3" i="4" s="1"/>
  <c r="C3" i="4" l="1"/>
  <c r="E2" i="4"/>
  <c r="G2" i="4"/>
</calcChain>
</file>

<file path=xl/sharedStrings.xml><?xml version="1.0" encoding="utf-8"?>
<sst xmlns="http://schemas.openxmlformats.org/spreadsheetml/2006/main" count="55" uniqueCount="32">
  <si>
    <t>Seas.</t>
  </si>
  <si>
    <t>Start.t.</t>
  </si>
  <si>
    <t>End.t.</t>
  </si>
  <si>
    <t>Length</t>
  </si>
  <si>
    <t>Base.val.</t>
  </si>
  <si>
    <t>Peak.t.</t>
  </si>
  <si>
    <t>Peak.val.</t>
  </si>
  <si>
    <t>Ampl.</t>
  </si>
  <si>
    <t>L.deriv.</t>
  </si>
  <si>
    <t>R.deriv.</t>
  </si>
  <si>
    <t>L.integral</t>
  </si>
  <si>
    <t>S.integral</t>
  </si>
  <si>
    <t>Start.val.</t>
  </si>
  <si>
    <t>End.val.</t>
  </si>
  <si>
    <t>season_start_date</t>
  </si>
  <si>
    <t>season_end_date</t>
  </si>
  <si>
    <t>peak_date</t>
  </si>
  <si>
    <t>length_days</t>
  </si>
  <si>
    <t>phase_peak</t>
  </si>
  <si>
    <t>season_half_date</t>
  </si>
  <si>
    <t>phase_seas</t>
  </si>
  <si>
    <t>season_ensemble_date</t>
  </si>
  <si>
    <t>phase_ensemble</t>
  </si>
  <si>
    <t>SD</t>
  </si>
  <si>
    <t>average</t>
  </si>
  <si>
    <t>peak_date_diff</t>
  </si>
  <si>
    <t>length_days_diff</t>
  </si>
  <si>
    <t>phase_peak_diff</t>
  </si>
  <si>
    <t>season_half_date_diff</t>
  </si>
  <si>
    <t>phase_seas_diff</t>
  </si>
  <si>
    <t>season_ensemble_date_diff</t>
  </si>
  <si>
    <t>phase_ensemble_diff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</si>
</sst>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\-d"/>
    <numFmt numFmtId="165" formatCode="yy\-mm\-d;@"/>
    <numFmt numFmtId="166" formatCode="yy\-mm\-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16" fillId="0" borderId="0" xfId="0" applyNumberFormat="1" applyFont="1"/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opLeftCell="O1" workbookViewId="0">
      <selection activeCell="T2" sqref="T2:T6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T2">
        <v>278</v>
      </c>
      <c r="U2" s="8"/>
    </row>
    <row r="3" spans="1:24" x14ac:dyDescent="0.2">
      <c r="T3">
        <v>284</v>
      </c>
      <c r="U3" s="7"/>
    </row>
    <row r="4" spans="1:24" x14ac:dyDescent="0.2">
      <c r="T4">
        <v>279</v>
      </c>
      <c r="U4" s="7"/>
    </row>
    <row r="5" spans="1:24" x14ac:dyDescent="0.2">
      <c r="T5">
        <v>274</v>
      </c>
      <c r="U5" s="7"/>
    </row>
    <row r="6" spans="1:24" x14ac:dyDescent="0.2">
      <c r="T6">
        <v>281</v>
      </c>
      <c r="U6" s="7"/>
    </row>
    <row r="7" spans="1:24" x14ac:dyDescent="0.2">
      <c r="A7" t="s">
        <v>24</v>
      </c>
      <c r="R7" s="5">
        <f>DATE(2001, 1, T7)</f>
        <v>37170</v>
      </c>
      <c r="S7" s="6"/>
      <c r="T7" s="4">
        <f>AVERAGE(T2:T6)</f>
        <v>279.2</v>
      </c>
      <c r="U7" s="5" t="e">
        <f>DATE(2001, 1, V7)</f>
        <v>#DIV/0!</v>
      </c>
      <c r="V7" s="4" t="e">
        <f>AVERAGE(V2:V6)</f>
        <v>#DIV/0!</v>
      </c>
      <c r="W7" s="5" t="e">
        <f>DATE(2001, 1, X7)</f>
        <v>#DIV/0!</v>
      </c>
      <c r="X7" s="4" t="e">
        <f>AVERAGE(X2:X6)</f>
        <v>#DIV/0!</v>
      </c>
    </row>
    <row r="8" spans="1:24" x14ac:dyDescent="0.2">
      <c r="A8" t="s">
        <v>23</v>
      </c>
      <c r="R8" s="2"/>
      <c r="T8" s="3">
        <f>STDEV(T2:T6)</f>
        <v>3.7013511046643495</v>
      </c>
      <c r="U8" s="2"/>
      <c r="V8" s="3" t="e">
        <f>STDEV(V2:V6)</f>
        <v>#DIV/0!</v>
      </c>
      <c r="W8" s="2"/>
      <c r="X8" s="3" t="e">
        <f>STDEV(X2:X6)</f>
        <v>#DIV/0!</v>
      </c>
    </row>
    <row r="9" spans="1:24" x14ac:dyDescent="0.2">
      <c r="R9" s="2"/>
      <c r="U9" s="2"/>
      <c r="W9" s="2"/>
      <c r="X9" s="3"/>
    </row>
    <row r="10" spans="1:24" x14ac:dyDescent="0.2">
      <c r="R10" s="2"/>
      <c r="U10" s="2"/>
      <c r="W10" s="2"/>
    </row>
    <row r="11" spans="1:24" x14ac:dyDescent="0.2">
      <c r="R11" s="2"/>
      <c r="U11" s="2"/>
      <c r="W11" s="2"/>
    </row>
    <row r="12" spans="1:24" x14ac:dyDescent="0.2">
      <c r="R12" s="1"/>
      <c r="U12" s="1"/>
      <c r="W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8"/>
  <sheetViews>
    <sheetView topLeftCell="N1" workbookViewId="0">
      <selection activeCell="X4" sqref="X4"/>
    </sheetView>
  </sheetViews>
  <sheetFormatPr baseColWidth="10" defaultRowHeight="16" x14ac:dyDescent="0.2"/>
  <sheetData>
    <row r="1" spans="2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2:24" x14ac:dyDescent="0.2">
      <c r="T2">
        <v>273</v>
      </c>
    </row>
    <row r="3" spans="2:24" x14ac:dyDescent="0.2">
      <c r="T3">
        <v>267</v>
      </c>
    </row>
    <row r="4" spans="2:24" x14ac:dyDescent="0.2">
      <c r="T4">
        <v>274</v>
      </c>
    </row>
    <row r="5" spans="2:24" x14ac:dyDescent="0.2">
      <c r="T5">
        <v>281</v>
      </c>
    </row>
    <row r="6" spans="2:24" x14ac:dyDescent="0.2">
      <c r="T6">
        <v>276</v>
      </c>
    </row>
    <row r="7" spans="2:24" x14ac:dyDescent="0.2">
      <c r="R7" s="5">
        <f>DATE(2001, 1, T7)</f>
        <v>37165</v>
      </c>
      <c r="S7" s="6"/>
      <c r="T7" s="4">
        <f>AVERAGE(T2:T6)</f>
        <v>274.2</v>
      </c>
      <c r="U7" s="5" t="e">
        <f>DATE(2001, 1, V7)</f>
        <v>#DIV/0!</v>
      </c>
      <c r="V7" s="4" t="e">
        <f>AVERAGE(V2:V6)</f>
        <v>#DIV/0!</v>
      </c>
      <c r="W7" s="5" t="e">
        <f>DATE(2001, 1, X7)</f>
        <v>#DIV/0!</v>
      </c>
      <c r="X7" s="4" t="e">
        <f>AVERAGE(X2:X6)</f>
        <v>#DIV/0!</v>
      </c>
    </row>
    <row r="8" spans="2:24" x14ac:dyDescent="0.2">
      <c r="R8" s="2"/>
      <c r="T8" s="3">
        <f>STDEV(T2:T6)</f>
        <v>5.0695167422546303</v>
      </c>
      <c r="U8" s="2"/>
      <c r="V8" s="3" t="e">
        <f>STDEV(V2:V6)</f>
        <v>#DIV/0!</v>
      </c>
      <c r="W8" s="2"/>
      <c r="X8" s="3" t="e">
        <f>STDEV(X2:X6)</f>
        <v>#DIV/0!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3" sqref="C3"/>
    </sheetView>
  </sheetViews>
  <sheetFormatPr baseColWidth="10" defaultRowHeight="16" x14ac:dyDescent="0.2"/>
  <cols>
    <col min="1" max="1" width="13.5" bestFit="1" customWidth="1"/>
    <col min="2" max="2" width="14.83203125" bestFit="1" customWidth="1"/>
    <col min="3" max="3" width="14.6640625" bestFit="1" customWidth="1"/>
    <col min="4" max="4" width="19.6640625" bestFit="1" customWidth="1"/>
    <col min="5" max="5" width="14.5" bestFit="1" customWidth="1"/>
    <col min="6" max="6" width="24.6640625" bestFit="1" customWidth="1"/>
    <col min="7" max="7" width="19" bestFit="1" customWidth="1"/>
  </cols>
  <sheetData>
    <row r="1" spans="1:7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C2">
        <f>ABS(sooretama_S1_RVI_seasonality_pr!T7-rio_doce_S1_RVI_seasonality_pro!T7)</f>
        <v>5</v>
      </c>
      <c r="E2" t="e">
        <f>sooretama_S1_RVI_seasonality_pr!V7-rio_doce_S1_RVI_seasonality_pro!V7</f>
        <v>#DIV/0!</v>
      </c>
      <c r="G2" t="e">
        <f>sooretama_S1_RVI_seasonality_pr!X7-rio_doce_S1_RVI_seasonality_pro!X7</f>
        <v>#DIV/0!</v>
      </c>
    </row>
    <row r="3" spans="1:7" x14ac:dyDescent="0.2">
      <c r="C3">
        <f>AVERAGE(rio_doce_S1_RVI_seasonality_pro!T8,sooretama_S1_RVI_seasonality_pr!T8)</f>
        <v>4.3854339234594901</v>
      </c>
      <c r="E3" t="e">
        <f>AVERAGE(rio_doce_S1_RVI_seasonality_pro!V8,sooretama_S1_RVI_seasonality_pr!V8)</f>
        <v>#DIV/0!</v>
      </c>
      <c r="G3" t="e">
        <f>AVERAGE(rio_doce_S1_RVI_seasonality_pro!X8,sooretama_S1_RVI_seasonality_pr!X8)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rio_doce_S1_RVI_seasonality_pro</vt:lpstr>
      <vt:lpstr>sooretama_S1_RVI_seasonality_pr</vt:lpstr>
      <vt:lpstr>diffs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2023-05-29T23:35:22Z</dcterms:created>
  <dcterms:modified xsi:type="dcterms:W3CDTF">2023-05-30T00:31:28Z</dcterms:modified>
</cp:coreProperties>
</file>